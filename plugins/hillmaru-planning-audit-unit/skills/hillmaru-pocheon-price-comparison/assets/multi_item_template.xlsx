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업무\구매 업무 (23.03.20 ~)\26.07.24 포천_코스관리팀 장비 소모품 구매\챗지피티\"/>
    </mc:Choice>
  </mc:AlternateContent>
  <xr:revisionPtr revIDLastSave="0" documentId="13_ncr:1_{B374FCFE-B20E-4A5D-A8C0-0755E05F100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1_최종추천" sheetId="1" r:id="rId1"/>
    <sheet name="02_EB6200 주름관" sheetId="2" r:id="rId2"/>
    <sheet name="03_EB6200 악셀레버 핸들 세트" sheetId="3" r:id="rId3"/>
    <sheet name="04_EB6200 회전관" sheetId="4" r:id="rId4"/>
    <sheet name="05_EB6200 기화기" sheetId="5" r:id="rId5"/>
    <sheet name="06_EB6200 연료필터" sheetId="6" r:id="rId6"/>
    <sheet name="07_EB6200 리코일 스타트" sheetId="7" r:id="rId7"/>
    <sheet name="08_EB6200 에어크리너 세트" sheetId="8" r:id="rId8"/>
    <sheet name="09_EB6200 점화코일" sheetId="9" r:id="rId9"/>
    <sheet name="10_EB6200 헤드가스켓" sheetId="10" r:id="rId10"/>
    <sheet name="11_EB6200 피스톤링" sheetId="11" r:id="rId11"/>
    <sheet name="12_EB6200 피스톤" sheetId="12" r:id="rId12"/>
    <sheet name="13_EB6200 손잡이고정 브라켓" sheetId="13" r:id="rId13"/>
    <sheet name="14_EB6200 토출구 호스" sheetId="14" r:id="rId14"/>
    <sheet name="15_구리스 자동 펌프" sheetId="15" r:id="rId15"/>
    <sheet name="16_임팩트 라쳇렌치 AI414RW" sheetId="16" r:id="rId16"/>
    <sheet name="17_부품박스 6호" sheetId="17" r:id="rId17"/>
    <sheet name="18_부품박스 2호" sheetId="18" r:id="rId18"/>
    <sheet name="19_조사기준_주의사항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2" i="1" l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F22" i="1"/>
  <c r="E22" i="1"/>
  <c r="D22" i="1"/>
</calcChain>
</file>

<file path=xl/sharedStrings.xml><?xml version="1.0" encoding="utf-8"?>
<sst xmlns="http://schemas.openxmlformats.org/spreadsheetml/2006/main" count="505" uniqueCount="213">
  <si>
    <t>힐마루 포천 구매품목 비교 및 최종 추천</t>
  </si>
  <si>
    <t>조사 기준일: 2026-07-23  |  배송지: 힐마루 포천  |  가격·재고·배송비는 결제 시 변동 가능</t>
  </si>
  <si>
    <t>No.</t>
  </si>
  <si>
    <t>품목</t>
  </si>
  <si>
    <t>선정 업체</t>
  </si>
  <si>
    <t>단가</t>
  </si>
  <si>
    <t>배송비</t>
  </si>
  <si>
    <t>예상 합계</t>
  </si>
  <si>
    <t>구매/확인 경로</t>
  </si>
  <si>
    <t>선정 사유</t>
  </si>
  <si>
    <t>확인 상태</t>
  </si>
  <si>
    <t>EB6200 주름관</t>
  </si>
  <si>
    <t>농기계천국(요청서 캡처)</t>
  </si>
  <si>
    <t>업로드 PDF p.1</t>
  </si>
  <si>
    <t>요청서 캡처 기준 배송비 포함 최저가. 결제 시 배송비 재확인.</t>
  </si>
  <si>
    <t>요청서 기준</t>
  </si>
  <si>
    <t>EB6200 악셀레버 핸들 세트</t>
  </si>
  <si>
    <t>파토리아(요청서 캡처)</t>
  </si>
  <si>
    <t>업로드 PDF p.2</t>
  </si>
  <si>
    <t>현재 확보 자료 중 배송비 포함 최저가.</t>
  </si>
  <si>
    <t>EB6200 회전관</t>
  </si>
  <si>
    <t>업로드 PDF p.3</t>
  </si>
  <si>
    <t>형상이 정확히 확인되는 요청서 상품을 잠정 선정.</t>
  </si>
  <si>
    <t>EB6200 기화기</t>
  </si>
  <si>
    <t>11번가 호환품</t>
  </si>
  <si>
    <t>https://www.11st.co.kr/products/5454741022</t>
  </si>
  <si>
    <t>비용 우선 기준. 장비 신뢰성 우선 시 정품 재고 확인 권장.</t>
  </si>
  <si>
    <t>웹 확인</t>
  </si>
  <si>
    <t>EB6200 연료필터</t>
  </si>
  <si>
    <t>호문산업(10개 세트)</t>
  </si>
  <si>
    <t>업로드 PDF p.5</t>
  </si>
  <si>
    <t>10개 세트 무료배송으로 단가 경쟁력 우수.</t>
  </si>
  <si>
    <t>EB6200 리코일 스타트</t>
  </si>
  <si>
    <t>아이론몰</t>
  </si>
  <si>
    <t>https://www.ironmall.co.kr/goods/goods_view.php?goodsNo=1000099765</t>
  </si>
  <si>
    <t>배송비 포함 확인가 중 최저.</t>
  </si>
  <si>
    <t>EB6200 에어크리너 세트</t>
  </si>
  <si>
    <t>에이툴스(요청서 캡처)</t>
  </si>
  <si>
    <t>업로드 PDF p.7</t>
  </si>
  <si>
    <t>세트 구성과 형상이 확인된 요청서 상품.</t>
  </si>
  <si>
    <t>EB6200 점화코일</t>
  </si>
  <si>
    <t>탑공구(요청서 캡처)</t>
  </si>
  <si>
    <t>업로드 PDF p.8</t>
  </si>
  <si>
    <t>요청서와 웹 검색 가격이 동일해 신뢰도가 높음.</t>
  </si>
  <si>
    <t>EB6200 헤드가스켓</t>
  </si>
  <si>
    <t>업로드 PDF p.9</t>
  </si>
  <si>
    <t>형상 확인 가능한 요청서 상품을 선정.</t>
  </si>
  <si>
    <t>EB6200 피스톤링</t>
  </si>
  <si>
    <t>업로드 PDF p.10</t>
  </si>
  <si>
    <t>요청서와 검색 노출가가 일치.</t>
  </si>
  <si>
    <t>EB6200 피스톤</t>
  </si>
  <si>
    <t>우수건설기계(요청서 캡처)</t>
  </si>
  <si>
    <t>업로드 PDF p.11</t>
  </si>
  <si>
    <t>요청서와 웹 검색 가격이 일치.</t>
  </si>
  <si>
    <t>EB6200 손잡이고정 브라켓</t>
  </si>
  <si>
    <t>업로드 PDF p.12</t>
  </si>
  <si>
    <t>EB6200 토출구 호스</t>
  </si>
  <si>
    <t>업로드 PDF p.13</t>
  </si>
  <si>
    <t>형상과 규격이 요청서에서 명확히 확인됨.</t>
  </si>
  <si>
    <t>구리스 자동 펌프</t>
  </si>
  <si>
    <t>리코타코리아 TMAC(요청서 캡처)</t>
  </si>
  <si>
    <t>업로드 PDF p.14</t>
  </si>
  <si>
    <t>무료배송이며 요청 사양과 동일한 제품.</t>
  </si>
  <si>
    <t>임팩트 라쳇렌치 AI414RW</t>
  </si>
  <si>
    <t>현피앤비(요청서 캡처)</t>
  </si>
  <si>
    <t>업로드 PDF p.15</t>
  </si>
  <si>
    <t>요청서가 배터리 2개 풀세트이므로 단순 최저가 베어툴과 직접 비교 불가.</t>
  </si>
  <si>
    <t>부품박스 6호</t>
  </si>
  <si>
    <t>Made in Korea P-BOX</t>
  </si>
  <si>
    <t>https://madeinkorea-pbox.shop/product/detail.html?item_code=P000000U000E&amp;product_no=20</t>
  </si>
  <si>
    <t>배송비 포함 확정가 기준 공동 최저. 대량 구매 시 배송비 구간 재계산 필요.</t>
  </si>
  <si>
    <t>부품박스 2호</t>
  </si>
  <si>
    <t>good day(요청서 캡처)</t>
  </si>
  <si>
    <t>업로드 PDF p.17</t>
  </si>
  <si>
    <t>요청서에서 제품·가격·배송비가 모두 확인됨.</t>
  </si>
  <si>
    <t>합계(확정 금액만)</t>
  </si>
  <si>
    <t>EB6200 주름관 업체별 비교</t>
  </si>
  <si>
    <t>순위</t>
  </si>
  <si>
    <t>업체/경로</t>
  </si>
  <si>
    <t>합계</t>
  </si>
  <si>
    <t>비고</t>
  </si>
  <si>
    <t>URL/출처</t>
  </si>
  <si>
    <t>정품 표기</t>
  </si>
  <si>
    <t>우수건설기계/다나와</t>
  </si>
  <si>
    <t>EB6200·4300 공용</t>
  </si>
  <si>
    <t>https://search.danawa.com/dsearch.php?adult=0&amp;boost=Y&amp;limit=40&amp;list=list&amp;page=2&amp;query=EB6200&amp;sort=saveDESC&amp;tab=goods&amp;volumeType=allvs</t>
  </si>
  <si>
    <t>다나와 검색</t>
  </si>
  <si>
    <t>검색 후보</t>
  </si>
  <si>
    <t>동일 상품 여부 확인 필요</t>
  </si>
  <si>
    <t>https://search.danawa.com/dsearch.php?query=EB6200</t>
  </si>
  <si>
    <t>Unit장 최종 의견</t>
  </si>
  <si>
    <t>요청서 캡처 기준 배송비 포함 최저가. 결제 시 배송비 재확인.
※ 업로드 요청서의 가격은 6월 12일 캡처 기준이며, 웹 확인 자료도 가격·재고·배송비가 변경될 수 있습니다. 실제 발주 전 링크와 결제 금액을 재확인하십시오.</t>
  </si>
  <si>
    <t>EB6200 악셀레버 핸들 세트 업체별 비교</t>
  </si>
  <si>
    <t>일본산 정품 표기</t>
  </si>
  <si>
    <t>핸들악셀케이블아세이</t>
  </si>
  <si>
    <t>옥션 검색</t>
  </si>
  <si>
    <t>검색 확인</t>
  </si>
  <si>
    <t>파토리아 판매 추정</t>
  </si>
  <si>
    <t>https://www.auction.co.kr/n/search?k=0&amp;keyword=%EC%A0%9C%EB%85%B8%EC%95%84%EC%86%A1%ED%92%8D%EA%B8%B0&amp;p=2</t>
  </si>
  <si>
    <t>현재 확보 자료 중 배송비 포함 최저가.
※ 업로드 요청서의 가격은 6월 12일 캡처 기준이며, 웹 확인 자료도 가격·재고·배송비가 변경될 수 있습니다. 실제 발주 전 링크와 결제 금액을 재확인하십시오.</t>
  </si>
  <si>
    <t>EB6200 회전관 업체별 비교</t>
  </si>
  <si>
    <t>EB6200 전용</t>
  </si>
  <si>
    <t>직선관·토출관과 혼동 주의</t>
  </si>
  <si>
    <t>네이버쇼핑 검색</t>
  </si>
  <si>
    <t>부품번호 확인 필요</t>
  </si>
  <si>
    <t>https://search.shopping.naver.com/search/all?query=%EC%A0%9C%EB%85%B8%EC%95%84%20EB6200%20%ED%9A%8C%EC%A0%84%EA%B4%80</t>
  </si>
  <si>
    <t>형상이 정확히 확인되는 요청서 상품을 잠정 선정.
※ 업로드 요청서의 가격은 6월 12일 캡처 기준이며, 웹 확인 자료도 가격·재고·배송비가 변경될 수 있습니다. 실제 발주 전 링크와 결제 금액을 재확인하십시오.</t>
  </si>
  <si>
    <t>EB6200 기화기 업체별 비교</t>
  </si>
  <si>
    <t>호환품</t>
  </si>
  <si>
    <t>우수건설기계 경제형</t>
  </si>
  <si>
    <t>경제형 호환품</t>
  </si>
  <si>
    <t>대흥토탈 정품</t>
  </si>
  <si>
    <t>정품, 품절 표시</t>
  </si>
  <si>
    <t>https://m.dhtotal.com/product/%EC%A0%9C%EB%85%B8%EC%95%84-%EB%B8%8C%EB%A1%9C%EC%9B%8C-%EC%BA%AC%EB%B8%8C%EB%A0%88%ED%84%B0-eb6200-%EA%B8%B0%ED%99%94%EA%B8%B0-%EC%86%A1%ED%92%8D%EA%B8%B0-%EC%A0%9C%EB%85%B8%EC%95%84%EB%B6%80%ED%92%88-zenoah/7161/</t>
  </si>
  <si>
    <t>비용 우선 기준. 장비 신뢰성 우선 시 정품 재고 확인 권장.
※ 업로드 요청서의 가격은 6월 12일 캡처 기준이며, 웹 확인 자료도 가격·재고·배송비가 변경될 수 있습니다. 실제 발주 전 링크와 결제 금액을 재확인하십시오.</t>
  </si>
  <si>
    <t>EB6200 연료필터 업체별 비교</t>
  </si>
  <si>
    <t>10pcs, 개당 약 1,510원</t>
  </si>
  <si>
    <t>호환 규격 확인 필요</t>
  </si>
  <si>
    <t>수량 단위 비교 필요</t>
  </si>
  <si>
    <t>https://search.shopping.naver.com/search/all?query=EB6200%20%EC%97%B0%EB%A3%8C%ED%95%84%ED%84%B0</t>
  </si>
  <si>
    <t>10개 세트 무료배송으로 단가 경쟁력 우수.
※ 업로드 요청서의 가격은 6월 12일 캡처 기준이며, 웹 확인 자료도 가격·재고·배송비가 변경될 수 있습니다. 실제 발주 전 링크와 결제 금액을 재확인하십시오.</t>
  </si>
  <si>
    <t>EB6200 리코일 스타트 업체별 비교</t>
  </si>
  <si>
    <t>G4K/EB6200 공용</t>
  </si>
  <si>
    <t>다나와 최저 노출</t>
  </si>
  <si>
    <t>판매처 결제창 확인 필요</t>
  </si>
  <si>
    <t>쿠팡</t>
  </si>
  <si>
    <t>무료배송</t>
  </si>
  <si>
    <t>https://www.coupang.com/vp/products/8884870128</t>
  </si>
  <si>
    <t>배송비 포함 확인가 중 최저.
※ 업로드 요청서의 가격은 6월 12일 캡처 기준이며, 웹 확인 자료도 가격·재고·배송비가 변경될 수 있습니다. 실제 발주 전 링크와 결제 금액을 재확인하십시오.</t>
  </si>
  <si>
    <t>EB6200 에어크리너 세트 업체별 비교</t>
  </si>
  <si>
    <t>순정품 세트 표기</t>
  </si>
  <si>
    <t>세트 구성 확인 필요</t>
  </si>
  <si>
    <t>커버 포함 여부 확인</t>
  </si>
  <si>
    <t>https://search.shopping.naver.com/search/all?query=EB6200%20%EC%97%90%EC%96%B4%ED%81%AC%EB%A6%AC%EB%84%88%20%EC%84%B8%ED%8A%B8</t>
  </si>
  <si>
    <t>세트 구성과 형상이 확인된 요청서 상품.
※ 업로드 요청서의 가격은 6월 12일 캡처 기준이며, 웹 확인 자료도 가격·재고·배송비가 변경될 수 있습니다. 실제 발주 전 링크와 결제 금액을 재확인하십시오.</t>
  </si>
  <si>
    <t>EB6200 점화코일 업체별 비교</t>
  </si>
  <si>
    <t>일본산 정품</t>
  </si>
  <si>
    <t>정품·호환품 구분 필요</t>
  </si>
  <si>
    <t>https://search.shopping.naver.com/search/all?query=EB6200%20%EC%A0%90%ED%99%94%EC%BD%94%EC%9D%BC</t>
  </si>
  <si>
    <t>요청서와 웹 검색 가격이 동일해 신뢰도가 높음.
※ 업로드 요청서의 가격은 6월 12일 캡처 기준이며, 웹 확인 자료도 가격·재고·배송비가 변경될 수 있습니다. 실제 발주 전 링크와 결제 금액을 재확인하십시오.</t>
  </si>
  <si>
    <t>EB6200 헤드가스켓 업체별 비교</t>
  </si>
  <si>
    <t>실린더 가스켓</t>
  </si>
  <si>
    <t>머플러 가스켓과 혼동 주의</t>
  </si>
  <si>
    <t>https://search.shopping.naver.com/search/all?query=EB6200%20%ED%97%A4%EB%93%9C%EA%B0%80%EC%8A%A4%EC%BC%93</t>
  </si>
  <si>
    <t>형상 확인 가능한 요청서 상품을 선정.
※ 업로드 요청서의 가격은 6월 12일 캡처 기준이며, 웹 확인 자료도 가격·재고·배송비가 변경될 수 있습니다. 실제 발주 전 링크와 결제 금액을 재확인하십시오.</t>
  </si>
  <si>
    <t>EB6200 피스톤링 업체별 비교</t>
  </si>
  <si>
    <t>웹 검색 노출</t>
  </si>
  <si>
    <t>링 규격 확인 필요</t>
  </si>
  <si>
    <t>https://search.shopping.naver.com/search/all?query=EB6200%20%ED%94%BC%EC%8A%A4%ED%86%A4%EB%A7%81</t>
  </si>
  <si>
    <t>요청서와 검색 노출가가 일치.
※ 업로드 요청서의 가격은 6월 12일 캡처 기준이며, 웹 확인 자료도 가격·재고·배송비가 변경될 수 있습니다. 실제 발주 전 링크와 결제 금액을 재확인하십시오.</t>
  </si>
  <si>
    <t>EB6200 피스톤 업체별 비교</t>
  </si>
  <si>
    <t>핀·링 포함 여부 확인</t>
  </si>
  <si>
    <t>https://search.shopping.naver.com/search/all?query=EB6200%20%ED%94%BC%EC%8A%A4%ED%86%A4</t>
  </si>
  <si>
    <t>요청서와 웹 검색 가격이 일치.
※ 업로드 요청서의 가격은 6월 12일 캡처 기준이며, 웹 확인 자료도 가격·재고·배송비가 변경될 수 있습니다. 실제 발주 전 링크와 결제 금액을 재확인하십시오.</t>
  </si>
  <si>
    <t>EB6200 손잡이고정 브라켓 업체별 비교</t>
  </si>
  <si>
    <t>세트 구성 확인</t>
  </si>
  <si>
    <t>https://search.shopping.naver.com/search/all?query=EB6200%20%EC%86%90%EC%9E%A1%EC%9D%B4%EA%B3%A0%EC%A0%95%20%EB%B8%8C%EB%9D%BC%EC%BC%93</t>
  </si>
  <si>
    <t>EB6200 토출구 호스 업체별 비교</t>
  </si>
  <si>
    <t>순정품 표기</t>
  </si>
  <si>
    <t>회전관과 구분 필요</t>
  </si>
  <si>
    <t>형상 확인 필요</t>
  </si>
  <si>
    <t>https://search.shopping.naver.com/search/all?query=EB6200%20%ED%86%A0%EC%B6%9C%EA%B5%AC%20%ED%98%B8%EC%8A%A4</t>
  </si>
  <si>
    <t>형상과 규격이 요청서에서 명확히 확인됨.
※ 업로드 요청서의 가격은 6월 12일 캡처 기준이며, 웹 확인 자료도 가격·재고·배송비가 변경될 수 있습니다. 실제 발주 전 링크와 결제 금액을 재확인하십시오.</t>
  </si>
  <si>
    <t>구리스 자동 펌프 업체별 비교</t>
  </si>
  <si>
    <t>에어 구리스펌프 자동 주입기</t>
  </si>
  <si>
    <t>통 용량·호스 구성 비교</t>
  </si>
  <si>
    <t>https://search.shopping.naver.com/search/all?query=TMAC%20%EC%97%90%EC%96%B4%20%EA%B5%AC%EB%A6%AC%EC%8A%A4%ED%8E%8C%ED%94%84</t>
  </si>
  <si>
    <t>동급 사양 확인 필요</t>
  </si>
  <si>
    <t>https://search.danawa.com/dsearch.php?query=%EC%97%90%EC%96%B4%20%EA%B5%AC%EB%A6%AC%EC%8A%A4%ED%8E%8C%ED%94%84</t>
  </si>
  <si>
    <t>무료배송이며 요청 사양과 동일한 제품.
※ 업로드 요청서의 가격은 6월 12일 캡처 기준이며, 웹 확인 자료도 가격·재고·배송비가 변경될 수 있습니다. 실제 발주 전 링크와 결제 금액을 재확인하십시오.</t>
  </si>
  <si>
    <t>임팩트 라쳇렌치 AI414RW 업체별 비교</t>
  </si>
  <si>
    <t>11번가 가격비교(베어툴)</t>
  </si>
  <si>
    <t>본체만</t>
  </si>
  <si>
    <t>https://catalog.11st.co.kr/pc/20203462</t>
  </si>
  <si>
    <t>에누리 2.0Ah 1배터리</t>
  </si>
  <si>
    <t>2.0Ah 배터리 1개</t>
  </si>
  <si>
    <t>https://www.enuri.com/detail.jsp?modelno=143976555</t>
  </si>
  <si>
    <t>2.0Ah 배터리 2개 풀세트</t>
  </si>
  <si>
    <t>요청서가 배터리 2개 풀세트이므로 단순 최저가 베어툴과 직접 비교 불가.
※ 업로드 요청서의 가격은 6월 12일 캡처 기준이며, 웹 확인 자료도 가격·재고·배송비가 변경될 수 있습니다. 실제 발주 전 링크와 결제 금액을 재확인하십시오.</t>
  </si>
  <si>
    <t>부품박스 6호 업체별 비교</t>
  </si>
  <si>
    <t>500×300×200</t>
  </si>
  <si>
    <t>P-Market</t>
  </si>
  <si>
    <t>https://p-market.co.kr/product/%ED%94%8C%EB%9D%BC%EC%8A%A4%ED%8B%B1%EC%83%81%EC%9E%90-%EB%B6%80%ED%92%886%ED%98%B8-%EB%B6%80%ED%92%88%EC%83%81%EC%9E%90-%ED%94%8C%EB%9D%BC%EC%8A%A4%ED%8B%B1%EB%B0%95%EC%8A%A4/45/</t>
  </si>
  <si>
    <t>G마켓 SK플라스틱</t>
  </si>
  <si>
    <t>포천 소재 판매자, 배송비 결제창 확인</t>
  </si>
  <si>
    <t>https://item.gmarket.co.kr/Item?goodsCode=1596223922</t>
  </si>
  <si>
    <t>배송비 포함 확정가 기준 공동 최저. 대량 구매 시 배송비 구간 재계산 필요.
※ 업로드 요청서의 가격은 6월 12일 캡처 기준이며, 웹 확인 자료도 가격·재고·배송비가 변경될 수 있습니다. 실제 발주 전 링크와 결제 금액을 재확인하십시오.</t>
  </si>
  <si>
    <t>부품박스 2호 업체별 비교</t>
  </si>
  <si>
    <t>노란색 부품상자</t>
  </si>
  <si>
    <t>외측 규격 확인 필요</t>
  </si>
  <si>
    <t>https://search.shopping.naver.com/search/all?query=%EB%B6%80%ED%92%88%EC%83%81%EC%9E%90%202%ED%98%B8</t>
  </si>
  <si>
    <t>P-Market 검색</t>
  </si>
  <si>
    <t>배송비 옵션 확인</t>
  </si>
  <si>
    <t>https://p-market.co.kr/product/search.html?banner_action=&amp;keyword=%EB%B6%80%ED%92%88%EC%83%81%EC%9E%902%ED%98%B8</t>
  </si>
  <si>
    <t>요청서에서 제품·가격·배송비가 모두 확인됨.
※ 업로드 요청서의 가격은 6월 12일 캡처 기준이며, 웹 확인 자료도 가격·재고·배송비가 변경될 수 있습니다. 실제 발주 전 링크와 결제 금액을 재확인하십시오.</t>
  </si>
  <si>
    <t>조사 기준 및 발주 전 확인사항</t>
  </si>
  <si>
    <t>구분</t>
  </si>
  <si>
    <t>내용</t>
  </si>
  <si>
    <t>자료 기준</t>
  </si>
  <si>
    <t>업로드된 구매요청 사진대지 17페이지와 2026-07-23 웹 검색 결과를 함께 사용.</t>
  </si>
  <si>
    <t>배송지</t>
  </si>
  <si>
    <t>힐마루 포천. 다만 쇼핑몰이 주소 입력 후 추가 운임을 표시하는 경우 본 표에는 반영되지 않을 수 있음.</t>
  </si>
  <si>
    <t>정품/호환품</t>
  </si>
  <si>
    <t>기화기 등은 정품과 호환품 가격 차이가 크므로 최저가만으로 선정하지 말고 현장 요구 수준을 확인.</t>
  </si>
  <si>
    <t>구성 차이</t>
  </si>
  <si>
    <t>AI414RW는 베어툴, 배터리 1개, 배터리 2개 세트가 혼재하므로 동일 구성끼리 비교해야 함.</t>
  </si>
  <si>
    <t>미확인 항목</t>
  </si>
  <si>
    <t>검색 후보로 표기된 행은 정확한 판매가격 또는 규격이 확인되지 않은 경로이며 최종 발주 후보에서 제외.</t>
  </si>
  <si>
    <t>발주 직전</t>
  </si>
  <si>
    <t>재고, 부가세 포함 여부, 묶음 배송 가능 여부, 도서산간 추가 운임, 세금계산서 발행 여부를 확인.</t>
  </si>
  <si>
    <t>수량</t>
    <phoneticPr fontId="7" type="noConversion"/>
  </si>
  <si>
    <t>총금액</t>
    <phoneticPr fontId="7" type="noConversion"/>
  </si>
  <si>
    <t>https://madeinkorea-pbox.shop/product/detail.html?item_code=P000000U000E&amp;product_no=20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</si>
</sst>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&quot;원&quot;"/>
  </numFmts>
  <fonts count="9">
    <font>
      <sz val="11"/>
      <name val="Carlito"/>
    </font>
    <font>
      <b/>
      <sz val="16"/>
      <color rgb="FFFFFFFF"/>
      <name val="Carlito"/>
    </font>
    <font>
      <i/>
      <sz val="11"/>
      <color rgb="FF334155"/>
      <name val="Carlito"/>
    </font>
    <font>
      <b/>
      <sz val="11"/>
      <color rgb="FFFFFFFF"/>
      <name val="Carlito"/>
    </font>
    <font>
      <b/>
      <sz val="11"/>
      <name val="Carlito"/>
    </font>
    <font>
      <b/>
      <sz val="15"/>
      <color rgb="FFFFFFFF"/>
      <name val="Carlito"/>
    </font>
    <font>
      <sz val="11"/>
      <name val="Carlito"/>
    </font>
    <font>
      <sz val="8"/>
      <name val="돋움"/>
      <family val="3"/>
      <charset val="129"/>
    </font>
    <font>
      <u/>
      <sz val="11"/>
      <color theme="1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E2F0D9"/>
      </patternFill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0" borderId="0"/>
    <xf numFmtId="0" fontId="8" fillId="0" borderId="0" applyNumberFormat="0" applyFill="0" applyBorder="0" applyAlignment="0" applyProtection="0"/>
  </cellStyleXfs>
  <cellXfs count="19">
    <xf numFmtId="0" fontId="0" fillId="0" borderId="0" xfId="0"/>
    <xf numFmtId="0" fontId="3" fillId="4" borderId="0" xfId="1" applyFont="1" applyFill="1" applyAlignment="1">
      <alignment wrapText="1"/>
    </xf>
    <xf numFmtId="0" fontId="3" fillId="4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0" fillId="0" borderId="0" xfId="1" applyFont="1" applyAlignment="1">
      <alignment vertical="center" wrapText="1"/>
    </xf>
    <xf numFmtId="176" fontId="0" fillId="0" borderId="0" xfId="1" applyNumberFormat="1" applyFont="1" applyAlignment="1">
      <alignment vertical="center" wrapText="1"/>
    </xf>
    <xf numFmtId="0" fontId="4" fillId="5" borderId="0" xfId="1" applyFont="1" applyFill="1"/>
    <xf numFmtId="176" fontId="4" fillId="5" borderId="0" xfId="1" applyNumberFormat="1" applyFont="1" applyFill="1"/>
    <xf numFmtId="0" fontId="3" fillId="4" borderId="0" xfId="1" applyFont="1" applyFill="1" applyAlignment="1">
      <alignment horizontal="center" vertical="center"/>
    </xf>
    <xf numFmtId="0" fontId="4" fillId="5" borderId="0" xfId="1" applyFont="1" applyFill="1" applyAlignment="1">
      <alignment vertical="center" wrapText="1"/>
    </xf>
    <xf numFmtId="176" fontId="4" fillId="5" borderId="0" xfId="1" applyNumberFormat="1" applyFont="1" applyFill="1" applyAlignment="1">
      <alignment vertical="center" wrapText="1"/>
    </xf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/>
    </xf>
    <xf numFmtId="0" fontId="4" fillId="5" borderId="0" xfId="1" applyFont="1" applyFill="1"/>
    <xf numFmtId="0" fontId="5" fillId="2" borderId="0" xfId="1" applyFont="1" applyFill="1" applyAlignment="1">
      <alignment horizontal="center" vertical="center"/>
    </xf>
    <xf numFmtId="0" fontId="4" fillId="3" borderId="0" xfId="1" applyFont="1" applyFill="1" applyAlignment="1">
      <alignment horizontal="left"/>
    </xf>
    <xf numFmtId="0" fontId="0" fillId="6" borderId="0" xfId="1" applyFont="1" applyFill="1" applyAlignment="1">
      <alignment vertical="top" wrapText="1"/>
    </xf>
    <xf numFmtId="0" fontId="5" fillId="2" borderId="0" xfId="1" applyFont="1" applyFill="1" applyAlignment="1">
      <alignment horizontal="center"/>
    </xf>
    <xf numFmtId="0" fontId="8" fillId="0" borderId="0" xfId="2" applyAlignment="1">
      <alignment vertical="center" wrapText="1"/>
    </xf>
  </cellXfs>
  <cellStyles count="3">
    <cellStyle name="Normal" xfId="1" xr:uid="{00000000-0005-0000-0000-000000000000}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deinkorea-pbox.shop/product/detail.html?item_code=P000000U000E&amp;product_no=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I20" sqref="I20"/>
    </sheetView>
  </sheetViews>
  <sheetFormatPr defaultRowHeight="14.25"/>
  <cols>
    <col min="1" max="1" width="6" customWidth="1"/>
    <col min="2" max="3" width="26" customWidth="1"/>
    <col min="4" max="4" width="13" customWidth="1"/>
    <col min="5" max="5" width="12" customWidth="1"/>
    <col min="6" max="8" width="14" customWidth="1"/>
    <col min="9" max="9" width="42" customWidth="1"/>
    <col min="10" max="10" width="45" customWidth="1"/>
    <col min="11" max="11" width="14" customWidth="1"/>
  </cols>
  <sheetData>
    <row r="1" spans="1:11" ht="32.1" customHeight="1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4" spans="1:11" ht="1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210</v>
      </c>
      <c r="H4" s="2" t="s">
        <v>211</v>
      </c>
      <c r="I4" s="2" t="s">
        <v>8</v>
      </c>
      <c r="J4" s="2" t="s">
        <v>9</v>
      </c>
      <c r="K4" s="2" t="s">
        <v>10</v>
      </c>
    </row>
    <row r="5" spans="1:11" ht="28.5">
      <c r="A5" s="4">
        <v>1</v>
      </c>
      <c r="B5" s="4" t="s">
        <v>11</v>
      </c>
      <c r="C5" s="4" t="s">
        <v>12</v>
      </c>
      <c r="D5" s="5">
        <v>38500</v>
      </c>
      <c r="E5" s="5">
        <v>3000</v>
      </c>
      <c r="F5" s="5">
        <v>41500</v>
      </c>
      <c r="G5">
        <v>10</v>
      </c>
      <c r="H5" s="5">
        <f>G5*F5</f>
        <v>415000</v>
      </c>
      <c r="I5" s="4" t="s">
        <v>13</v>
      </c>
      <c r="J5" s="4" t="s">
        <v>14</v>
      </c>
      <c r="K5" s="4" t="s">
        <v>15</v>
      </c>
    </row>
    <row r="6" spans="1:11">
      <c r="A6" s="4">
        <v>2</v>
      </c>
      <c r="B6" s="4" t="s">
        <v>16</v>
      </c>
      <c r="C6" s="4" t="s">
        <v>17</v>
      </c>
      <c r="D6" s="5">
        <v>105000</v>
      </c>
      <c r="E6" s="5">
        <v>3000</v>
      </c>
      <c r="F6" s="5">
        <v>108000</v>
      </c>
      <c r="G6">
        <v>5</v>
      </c>
      <c r="H6" s="5">
        <f t="shared" ref="H6:H21" si="0">G6*F6</f>
        <v>540000</v>
      </c>
      <c r="I6" s="4" t="s">
        <v>18</v>
      </c>
      <c r="J6" s="4" t="s">
        <v>19</v>
      </c>
      <c r="K6" s="4" t="s">
        <v>15</v>
      </c>
    </row>
    <row r="7" spans="1:11">
      <c r="A7" s="4">
        <v>3</v>
      </c>
      <c r="B7" s="4" t="s">
        <v>20</v>
      </c>
      <c r="C7" s="4" t="s">
        <v>17</v>
      </c>
      <c r="D7" s="5">
        <v>19000</v>
      </c>
      <c r="E7" s="5">
        <v>3000</v>
      </c>
      <c r="F7" s="5">
        <v>22000</v>
      </c>
      <c r="G7">
        <v>5</v>
      </c>
      <c r="H7" s="5">
        <f t="shared" si="0"/>
        <v>110000</v>
      </c>
      <c r="I7" s="4" t="s">
        <v>21</v>
      </c>
      <c r="J7" s="4" t="s">
        <v>22</v>
      </c>
      <c r="K7" s="4" t="s">
        <v>15</v>
      </c>
    </row>
    <row r="8" spans="1:11" ht="28.5">
      <c r="A8" s="4">
        <v>4</v>
      </c>
      <c r="B8" s="4" t="s">
        <v>23</v>
      </c>
      <c r="C8" s="4" t="s">
        <v>24</v>
      </c>
      <c r="D8" s="5">
        <v>52000</v>
      </c>
      <c r="E8" s="5">
        <v>4000</v>
      </c>
      <c r="F8" s="5">
        <v>56000</v>
      </c>
      <c r="G8">
        <v>5</v>
      </c>
      <c r="H8" s="5">
        <f t="shared" si="0"/>
        <v>280000</v>
      </c>
      <c r="I8" s="4" t="s">
        <v>25</v>
      </c>
      <c r="J8" s="4" t="s">
        <v>26</v>
      </c>
      <c r="K8" s="4" t="s">
        <v>27</v>
      </c>
    </row>
    <row r="9" spans="1:11">
      <c r="A9" s="4">
        <v>5</v>
      </c>
      <c r="B9" s="4" t="s">
        <v>28</v>
      </c>
      <c r="C9" s="4" t="s">
        <v>29</v>
      </c>
      <c r="D9" s="5">
        <v>15100</v>
      </c>
      <c r="E9" s="5">
        <v>0</v>
      </c>
      <c r="F9" s="5">
        <v>15100</v>
      </c>
      <c r="G9">
        <v>2</v>
      </c>
      <c r="H9" s="5">
        <f t="shared" si="0"/>
        <v>30200</v>
      </c>
      <c r="I9" s="4" t="s">
        <v>30</v>
      </c>
      <c r="J9" s="4" t="s">
        <v>31</v>
      </c>
      <c r="K9" s="4" t="s">
        <v>15</v>
      </c>
    </row>
    <row r="10" spans="1:11" ht="28.5">
      <c r="A10" s="4">
        <v>6</v>
      </c>
      <c r="B10" s="4" t="s">
        <v>32</v>
      </c>
      <c r="C10" s="4" t="s">
        <v>33</v>
      </c>
      <c r="D10" s="5">
        <v>14100</v>
      </c>
      <c r="E10" s="5">
        <v>4000</v>
      </c>
      <c r="F10" s="5">
        <v>18100</v>
      </c>
      <c r="G10">
        <v>15</v>
      </c>
      <c r="H10" s="5">
        <f t="shared" si="0"/>
        <v>271500</v>
      </c>
      <c r="I10" s="4" t="s">
        <v>34</v>
      </c>
      <c r="J10" s="4" t="s">
        <v>35</v>
      </c>
      <c r="K10" s="4" t="s">
        <v>27</v>
      </c>
    </row>
    <row r="11" spans="1:11">
      <c r="A11" s="4">
        <v>7</v>
      </c>
      <c r="B11" s="4" t="s">
        <v>36</v>
      </c>
      <c r="C11" s="4" t="s">
        <v>37</v>
      </c>
      <c r="D11" s="5">
        <v>36000</v>
      </c>
      <c r="E11" s="5">
        <v>3500</v>
      </c>
      <c r="F11" s="5">
        <v>39500</v>
      </c>
      <c r="G11">
        <v>5</v>
      </c>
      <c r="H11" s="5">
        <f t="shared" si="0"/>
        <v>197500</v>
      </c>
      <c r="I11" s="4" t="s">
        <v>38</v>
      </c>
      <c r="J11" s="4" t="s">
        <v>39</v>
      </c>
      <c r="K11" s="4" t="s">
        <v>15</v>
      </c>
    </row>
    <row r="12" spans="1:11">
      <c r="A12" s="4">
        <v>8</v>
      </c>
      <c r="B12" s="4" t="s">
        <v>40</v>
      </c>
      <c r="C12" s="4" t="s">
        <v>41</v>
      </c>
      <c r="D12" s="5">
        <v>98000</v>
      </c>
      <c r="E12" s="5">
        <v>7000</v>
      </c>
      <c r="F12" s="5">
        <v>105000</v>
      </c>
      <c r="G12">
        <v>3</v>
      </c>
      <c r="H12" s="5">
        <f t="shared" si="0"/>
        <v>315000</v>
      </c>
      <c r="I12" s="4" t="s">
        <v>42</v>
      </c>
      <c r="J12" s="4" t="s">
        <v>43</v>
      </c>
      <c r="K12" s="4" t="s">
        <v>15</v>
      </c>
    </row>
    <row r="13" spans="1:11">
      <c r="A13" s="4">
        <v>9</v>
      </c>
      <c r="B13" s="4" t="s">
        <v>44</v>
      </c>
      <c r="C13" s="4" t="s">
        <v>41</v>
      </c>
      <c r="D13" s="5">
        <v>7000</v>
      </c>
      <c r="E13" s="5">
        <v>7000</v>
      </c>
      <c r="F13" s="5">
        <v>14000</v>
      </c>
      <c r="G13">
        <v>10</v>
      </c>
      <c r="H13" s="5">
        <f t="shared" si="0"/>
        <v>140000</v>
      </c>
      <c r="I13" s="4" t="s">
        <v>45</v>
      </c>
      <c r="J13" s="4" t="s">
        <v>46</v>
      </c>
      <c r="K13" s="4" t="s">
        <v>15</v>
      </c>
    </row>
    <row r="14" spans="1:11">
      <c r="A14" s="4">
        <v>10</v>
      </c>
      <c r="B14" s="4" t="s">
        <v>47</v>
      </c>
      <c r="C14" s="4" t="s">
        <v>41</v>
      </c>
      <c r="D14" s="5">
        <v>15000</v>
      </c>
      <c r="E14" s="5">
        <v>7000</v>
      </c>
      <c r="F14" s="5">
        <v>22000</v>
      </c>
      <c r="G14">
        <v>5</v>
      </c>
      <c r="H14" s="5">
        <f t="shared" si="0"/>
        <v>110000</v>
      </c>
      <c r="I14" s="4" t="s">
        <v>48</v>
      </c>
      <c r="J14" s="4" t="s">
        <v>49</v>
      </c>
      <c r="K14" s="4" t="s">
        <v>15</v>
      </c>
    </row>
    <row r="15" spans="1:11">
      <c r="A15" s="4">
        <v>11</v>
      </c>
      <c r="B15" s="4" t="s">
        <v>50</v>
      </c>
      <c r="C15" s="4" t="s">
        <v>51</v>
      </c>
      <c r="D15" s="5">
        <v>52800</v>
      </c>
      <c r="E15" s="5">
        <v>7000</v>
      </c>
      <c r="F15" s="5">
        <v>59800</v>
      </c>
      <c r="G15">
        <v>5</v>
      </c>
      <c r="H15" s="5">
        <f t="shared" si="0"/>
        <v>299000</v>
      </c>
      <c r="I15" s="4" t="s">
        <v>52</v>
      </c>
      <c r="J15" s="4" t="s">
        <v>53</v>
      </c>
      <c r="K15" s="4" t="s">
        <v>15</v>
      </c>
    </row>
    <row r="16" spans="1:11">
      <c r="A16" s="4">
        <v>12</v>
      </c>
      <c r="B16" s="4" t="s">
        <v>54</v>
      </c>
      <c r="C16" s="4" t="s">
        <v>51</v>
      </c>
      <c r="D16" s="5">
        <v>39600</v>
      </c>
      <c r="E16" s="5">
        <v>7000</v>
      </c>
      <c r="F16" s="5">
        <v>46600</v>
      </c>
      <c r="G16">
        <v>2</v>
      </c>
      <c r="H16" s="5">
        <f t="shared" si="0"/>
        <v>93200</v>
      </c>
      <c r="I16" s="4" t="s">
        <v>55</v>
      </c>
      <c r="J16" s="4" t="s">
        <v>53</v>
      </c>
      <c r="K16" s="4" t="s">
        <v>15</v>
      </c>
    </row>
    <row r="17" spans="1:11">
      <c r="A17" s="4">
        <v>13</v>
      </c>
      <c r="B17" s="4" t="s">
        <v>56</v>
      </c>
      <c r="C17" s="4" t="s">
        <v>12</v>
      </c>
      <c r="D17" s="5">
        <v>18000</v>
      </c>
      <c r="E17" s="5">
        <v>3000</v>
      </c>
      <c r="F17" s="5">
        <v>21000</v>
      </c>
      <c r="G17">
        <v>3</v>
      </c>
      <c r="H17" s="5">
        <f t="shared" si="0"/>
        <v>63000</v>
      </c>
      <c r="I17" s="4" t="s">
        <v>57</v>
      </c>
      <c r="J17" s="4" t="s">
        <v>58</v>
      </c>
      <c r="K17" s="4" t="s">
        <v>15</v>
      </c>
    </row>
    <row r="18" spans="1:11" ht="28.5">
      <c r="A18" s="4">
        <v>14</v>
      </c>
      <c r="B18" s="4" t="s">
        <v>59</v>
      </c>
      <c r="C18" s="4" t="s">
        <v>60</v>
      </c>
      <c r="D18" s="5">
        <v>149000</v>
      </c>
      <c r="E18" s="5">
        <v>0</v>
      </c>
      <c r="F18" s="5">
        <v>149000</v>
      </c>
      <c r="G18">
        <v>1</v>
      </c>
      <c r="H18" s="5">
        <f t="shared" si="0"/>
        <v>149000</v>
      </c>
      <c r="I18" s="4" t="s">
        <v>61</v>
      </c>
      <c r="J18" s="4" t="s">
        <v>62</v>
      </c>
      <c r="K18" s="4" t="s">
        <v>15</v>
      </c>
    </row>
    <row r="19" spans="1:11" ht="28.5">
      <c r="A19" s="4">
        <v>15</v>
      </c>
      <c r="B19" s="4" t="s">
        <v>63</v>
      </c>
      <c r="C19" s="4" t="s">
        <v>64</v>
      </c>
      <c r="D19" s="5">
        <v>210770</v>
      </c>
      <c r="E19" s="5">
        <v>3500</v>
      </c>
      <c r="F19" s="5">
        <v>214270</v>
      </c>
      <c r="G19">
        <v>1</v>
      </c>
      <c r="H19" s="5">
        <f t="shared" si="0"/>
        <v>214270</v>
      </c>
      <c r="I19" s="4" t="s">
        <v>65</v>
      </c>
      <c r="J19" s="4" t="s">
        <v>66</v>
      </c>
      <c r="K19" s="4" t="s">
        <v>15</v>
      </c>
    </row>
    <row r="20" spans="1:11" ht="42.75">
      <c r="A20" s="4">
        <v>16</v>
      </c>
      <c r="B20" s="4" t="s">
        <v>67</v>
      </c>
      <c r="C20" s="4" t="s">
        <v>68</v>
      </c>
      <c r="D20" s="5">
        <v>4400</v>
      </c>
      <c r="E20" s="5">
        <v>7700</v>
      </c>
      <c r="F20" s="5">
        <v>12100</v>
      </c>
      <c r="G20">
        <v>20</v>
      </c>
      <c r="H20" s="5">
        <f t="shared" si="0"/>
        <v>242000</v>
      </c>
      <c r="I20" s="18" t="s">
        <v>212</v>
      </c>
      <c r="J20" s="4" t="s">
        <v>70</v>
      </c>
      <c r="K20" s="4" t="s">
        <v>27</v>
      </c>
    </row>
    <row r="21" spans="1:11">
      <c r="A21" s="4">
        <v>17</v>
      </c>
      <c r="B21" s="4" t="s">
        <v>71</v>
      </c>
      <c r="C21" s="4" t="s">
        <v>72</v>
      </c>
      <c r="D21" s="5">
        <v>2920</v>
      </c>
      <c r="E21" s="5">
        <v>3500</v>
      </c>
      <c r="F21" s="5">
        <v>6420</v>
      </c>
      <c r="G21">
        <v>40</v>
      </c>
      <c r="H21" s="5">
        <f t="shared" si="0"/>
        <v>256800</v>
      </c>
      <c r="I21" s="4" t="s">
        <v>73</v>
      </c>
      <c r="J21" s="4" t="s">
        <v>74</v>
      </c>
      <c r="K21" s="4" t="s">
        <v>15</v>
      </c>
    </row>
    <row r="22" spans="1:11" ht="15">
      <c r="A22" s="13" t="s">
        <v>75</v>
      </c>
      <c r="B22" s="13"/>
      <c r="C22" s="13"/>
      <c r="D22" s="7">
        <f>SUM(D5:D21)</f>
        <v>877190</v>
      </c>
      <c r="E22" s="7">
        <f>SUM(E5:E21)</f>
        <v>73200</v>
      </c>
      <c r="F22" s="7">
        <f>SUM(F5:F21)</f>
        <v>950390</v>
      </c>
      <c r="G22" s="7"/>
      <c r="H22" s="7">
        <f>SUM(H5:H21)</f>
        <v>3726470</v>
      </c>
      <c r="I22" s="6"/>
      <c r="J22" s="6"/>
      <c r="K22" s="6"/>
    </row>
  </sheetData>
  <mergeCells count="3">
    <mergeCell ref="A1:K1"/>
    <mergeCell ref="A2:K2"/>
    <mergeCell ref="A22:C22"/>
  </mergeCells>
  <phoneticPr fontId="7" type="noConversion"/>
  <conditionalFormatting sqref="F5:F21 H5:H21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{D749BC04-E9D8-0B05-A5D4-2DBD193EF5BD}</x14:id>
        </ext>
      </extLst>
    </cfRule>
  </conditionalFormatting>
  <hyperlinks>
    <hyperlink ref="I20" r:id="rId1" xr:uid="{999C44DB-D206-424F-BE55-CCB6C527FB2B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49BC04-E9D8-0B05-A5D4-2DBD193EF5BD}">
            <x14:dataBar>
              <x14:cfvo type="min"/>
              <x14:cfvo type="max"/>
              <x14:negativeFillColor auto="1"/>
              <x14:axisColor auto="1"/>
            </x14:dataBar>
          </x14:cfRule>
          <xm:sqref>F5:F21 H5:H21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>
      <selection sqref="A1:H1"/>
    </sheetView>
  </sheetViews>
  <sheetFormatPr defaultRowHeight="14.25"/>
  <cols>
    <col min="1" max="1" width="7" customWidth="1"/>
    <col min="2" max="2" width="28" customWidth="1"/>
    <col min="3" max="3" width="14" customWidth="1"/>
    <col min="4" max="4" width="12" customWidth="1"/>
    <col min="5" max="5" width="14" customWidth="1"/>
    <col min="6" max="6" width="16" customWidth="1"/>
    <col min="7" max="7" width="36" customWidth="1"/>
    <col min="8" max="8" width="58" customWidth="1"/>
  </cols>
  <sheetData>
    <row r="1" spans="1:8" ht="30" customHeight="1">
      <c r="A1" s="14" t="s">
        <v>76</v>
      </c>
      <c r="B1" s="14"/>
      <c r="C1" s="14"/>
      <c r="D1" s="14"/>
      <c r="E1" s="14"/>
      <c r="F1" s="14"/>
      <c r="G1" s="14"/>
      <c r="H1" s="14"/>
    </row>
    <row r="3" spans="1:8" ht="15">
      <c r="A3" s="8" t="s">
        <v>77</v>
      </c>
      <c r="B3" s="8" t="s">
        <v>78</v>
      </c>
      <c r="C3" s="8" t="s">
        <v>5</v>
      </c>
      <c r="D3" s="8" t="s">
        <v>6</v>
      </c>
      <c r="E3" s="8" t="s">
        <v>79</v>
      </c>
      <c r="F3" s="8" t="s">
        <v>10</v>
      </c>
      <c r="G3" s="8" t="s">
        <v>80</v>
      </c>
      <c r="H3" s="8" t="s">
        <v>81</v>
      </c>
    </row>
    <row r="4" spans="1:8" ht="15">
      <c r="A4" s="9">
        <v>1</v>
      </c>
      <c r="B4" s="9" t="s">
        <v>12</v>
      </c>
      <c r="C4" s="10">
        <v>38500</v>
      </c>
      <c r="D4" s="10">
        <v>3000</v>
      </c>
      <c r="E4" s="10">
        <v>41500</v>
      </c>
      <c r="F4" s="9" t="s">
        <v>15</v>
      </c>
      <c r="G4" s="9" t="s">
        <v>82</v>
      </c>
      <c r="H4" s="9" t="s">
        <v>13</v>
      </c>
    </row>
    <row r="5" spans="1:8" ht="42.75">
      <c r="A5" s="4">
        <v>2</v>
      </c>
      <c r="B5" s="4" t="s">
        <v>83</v>
      </c>
      <c r="C5" s="5">
        <v>38500</v>
      </c>
      <c r="D5" s="5">
        <v>7000</v>
      </c>
      <c r="E5" s="5">
        <v>45500</v>
      </c>
      <c r="F5" s="4" t="s">
        <v>27</v>
      </c>
      <c r="G5" s="4" t="s">
        <v>84</v>
      </c>
      <c r="H5" s="4" t="s">
        <v>85</v>
      </c>
    </row>
    <row r="6" spans="1:8">
      <c r="A6" s="4">
        <v>3</v>
      </c>
      <c r="B6" s="4" t="s">
        <v>86</v>
      </c>
      <c r="C6" s="5"/>
      <c r="D6" s="5"/>
      <c r="E6" s="5"/>
      <c r="F6" s="4" t="s">
        <v>87</v>
      </c>
      <c r="G6" s="4" t="s">
        <v>88</v>
      </c>
      <c r="H6" s="4" t="s">
        <v>89</v>
      </c>
    </row>
    <row r="8" spans="1:8" ht="15">
      <c r="A8" s="15" t="s">
        <v>90</v>
      </c>
      <c r="B8" s="15"/>
      <c r="C8" s="15"/>
      <c r="D8" s="15"/>
      <c r="E8" s="15"/>
      <c r="F8" s="15"/>
      <c r="G8" s="15"/>
      <c r="H8" s="15"/>
    </row>
    <row r="9" spans="1:8">
      <c r="A9" s="16" t="s">
        <v>91</v>
      </c>
      <c r="B9" s="16"/>
      <c r="C9" s="16"/>
      <c r="D9" s="16"/>
      <c r="E9" s="16"/>
      <c r="F9" s="16"/>
      <c r="G9" s="16"/>
      <c r="H9" s="16"/>
    </row>
    <row r="10" spans="1:8">
      <c r="A10" s="16"/>
      <c r="B10" s="16"/>
      <c r="C10" s="16"/>
      <c r="D10" s="16"/>
      <c r="E10" s="16"/>
      <c r="F10" s="16"/>
      <c r="G10" s="16"/>
      <c r="H10" s="16"/>
    </row>
    <row r="11" spans="1:8">
      <c r="A11" s="16"/>
      <c r="B11" s="16"/>
      <c r="C11" s="16"/>
      <c r="D11" s="16"/>
      <c r="E11" s="16"/>
      <c r="F11" s="16"/>
      <c r="G11" s="16"/>
      <c r="H11" s="16"/>
    </row>
  </sheetData>
  <mergeCells count="3">
    <mergeCell ref="A1:H1"/>
    <mergeCell ref="A8:H8"/>
    <mergeCell ref="A9:H11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workbookViewId="0">
      <selection sqref="A1:H1"/>
    </sheetView>
  </sheetViews>
  <sheetFormatPr defaultRowHeight="14.25"/>
  <cols>
    <col min="1" max="1" width="7" customWidth="1"/>
    <col min="2" max="2" width="28" customWidth="1"/>
    <col min="3" max="3" width="14" customWidth="1"/>
    <col min="4" max="4" width="12" customWidth="1"/>
    <col min="5" max="5" width="14" customWidth="1"/>
    <col min="6" max="6" width="16" customWidth="1"/>
    <col min="7" max="7" width="36" customWidth="1"/>
    <col min="8" max="8" width="58" customWidth="1"/>
  </cols>
  <sheetData>
    <row r="1" spans="1:8" ht="30" customHeight="1">
      <c r="A1" s="14" t="s">
        <v>92</v>
      </c>
      <c r="B1" s="14"/>
      <c r="C1" s="14"/>
      <c r="D1" s="14"/>
      <c r="E1" s="14"/>
      <c r="F1" s="14"/>
      <c r="G1" s="14"/>
      <c r="H1" s="14"/>
    </row>
    <row r="3" spans="1:8" ht="15">
      <c r="A3" s="8" t="s">
        <v>77</v>
      </c>
      <c r="B3" s="8" t="s">
        <v>78</v>
      </c>
      <c r="C3" s="8" t="s">
        <v>5</v>
      </c>
      <c r="D3" s="8" t="s">
        <v>6</v>
      </c>
      <c r="E3" s="8" t="s">
        <v>79</v>
      </c>
      <c r="F3" s="8" t="s">
        <v>10</v>
      </c>
      <c r="G3" s="8" t="s">
        <v>80</v>
      </c>
      <c r="H3" s="8" t="s">
        <v>81</v>
      </c>
    </row>
    <row r="4" spans="1:8" ht="15">
      <c r="A4" s="9">
        <v>1</v>
      </c>
      <c r="B4" s="9" t="s">
        <v>17</v>
      </c>
      <c r="C4" s="10">
        <v>105000</v>
      </c>
      <c r="D4" s="10">
        <v>3000</v>
      </c>
      <c r="E4" s="10">
        <v>108000</v>
      </c>
      <c r="F4" s="9" t="s">
        <v>15</v>
      </c>
      <c r="G4" s="9" t="s">
        <v>93</v>
      </c>
      <c r="H4" s="9" t="s">
        <v>18</v>
      </c>
    </row>
    <row r="5" spans="1:8" ht="42.75">
      <c r="A5" s="4">
        <v>2</v>
      </c>
      <c r="B5" s="4" t="s">
        <v>83</v>
      </c>
      <c r="C5" s="5">
        <v>110000</v>
      </c>
      <c r="D5" s="5">
        <v>7000</v>
      </c>
      <c r="E5" s="5">
        <v>117000</v>
      </c>
      <c r="F5" s="4" t="s">
        <v>27</v>
      </c>
      <c r="G5" s="4" t="s">
        <v>94</v>
      </c>
      <c r="H5" s="4" t="s">
        <v>85</v>
      </c>
    </row>
    <row r="6" spans="1:8" ht="42.75">
      <c r="A6" s="4">
        <v>3</v>
      </c>
      <c r="B6" s="4" t="s">
        <v>95</v>
      </c>
      <c r="C6" s="5">
        <v>108100</v>
      </c>
      <c r="D6" s="5">
        <v>3000</v>
      </c>
      <c r="E6" s="5">
        <v>111100</v>
      </c>
      <c r="F6" s="4" t="s">
        <v>96</v>
      </c>
      <c r="G6" s="4" t="s">
        <v>97</v>
      </c>
      <c r="H6" s="4" t="s">
        <v>98</v>
      </c>
    </row>
    <row r="8" spans="1:8" ht="15">
      <c r="A8" s="15" t="s">
        <v>90</v>
      </c>
      <c r="B8" s="15"/>
      <c r="C8" s="15"/>
      <c r="D8" s="15"/>
      <c r="E8" s="15"/>
      <c r="F8" s="15"/>
      <c r="G8" s="15"/>
      <c r="H8" s="15"/>
    </row>
    <row r="9" spans="1:8">
      <c r="A9" s="16" t="s">
        <v>99</v>
      </c>
      <c r="B9" s="16"/>
      <c r="C9" s="16"/>
      <c r="D9" s="16"/>
      <c r="E9" s="16"/>
      <c r="F9" s="16"/>
      <c r="G9" s="16"/>
      <c r="H9" s="16"/>
    </row>
    <row r="10" spans="1:8">
      <c r="A10" s="16"/>
      <c r="B10" s="16"/>
      <c r="C10" s="16"/>
      <c r="D10" s="16"/>
      <c r="E10" s="16"/>
      <c r="F10" s="16"/>
      <c r="G10" s="16"/>
      <c r="H10" s="16"/>
    </row>
    <row r="11" spans="1:8">
      <c r="A11" s="16"/>
      <c r="B11" s="16"/>
      <c r="C11" s="16"/>
      <c r="D11" s="16"/>
      <c r="E11" s="16"/>
      <c r="F11" s="16"/>
      <c r="G11" s="16"/>
      <c r="H11" s="16"/>
    </row>
  </sheetData>
  <mergeCells count="3">
    <mergeCell ref="A1:H1"/>
    <mergeCell ref="A8:H8"/>
    <mergeCell ref="A9:H11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workbookViewId="0">
      <selection activeCell="G36" sqref="G36"/>
    </sheetView>
  </sheetViews>
  <sheetFormatPr defaultRowHeight="14.25"/>
  <cols>
    <col min="1" max="1" width="7" customWidth="1"/>
    <col min="2" max="2" width="28" customWidth="1"/>
    <col min="3" max="3" width="14" customWidth="1"/>
    <col min="4" max="4" width="12" customWidth="1"/>
    <col min="5" max="5" width="14" customWidth="1"/>
    <col min="6" max="6" width="16" customWidth="1"/>
    <col min="7" max="7" width="36" customWidth="1"/>
    <col min="8" max="8" width="58" customWidth="1"/>
  </cols>
  <sheetData>
    <row r="1" spans="1:8" ht="30" customHeight="1">
      <c r="A1" s="14" t="s">
        <v>100</v>
      </c>
      <c r="B1" s="14"/>
      <c r="C1" s="14"/>
      <c r="D1" s="14"/>
      <c r="E1" s="14"/>
      <c r="F1" s="14"/>
      <c r="G1" s="14"/>
      <c r="H1" s="14"/>
    </row>
    <row r="3" spans="1:8" ht="15">
      <c r="A3" s="8" t="s">
        <v>77</v>
      </c>
      <c r="B3" s="8" t="s">
        <v>78</v>
      </c>
      <c r="C3" s="8" t="s">
        <v>5</v>
      </c>
      <c r="D3" s="8" t="s">
        <v>6</v>
      </c>
      <c r="E3" s="8" t="s">
        <v>79</v>
      </c>
      <c r="F3" s="8" t="s">
        <v>10</v>
      </c>
      <c r="G3" s="8" t="s">
        <v>80</v>
      </c>
      <c r="H3" s="8" t="s">
        <v>81</v>
      </c>
    </row>
    <row r="4" spans="1:8" ht="15">
      <c r="A4" s="9">
        <v>1</v>
      </c>
      <c r="B4" s="9" t="s">
        <v>17</v>
      </c>
      <c r="C4" s="10">
        <v>19000</v>
      </c>
      <c r="D4" s="10">
        <v>3000</v>
      </c>
      <c r="E4" s="10">
        <v>22000</v>
      </c>
      <c r="F4" s="9" t="s">
        <v>15</v>
      </c>
      <c r="G4" s="9" t="s">
        <v>101</v>
      </c>
      <c r="H4" s="9" t="s">
        <v>21</v>
      </c>
    </row>
    <row r="5" spans="1:8">
      <c r="A5" s="4">
        <v>2</v>
      </c>
      <c r="B5" s="4" t="s">
        <v>86</v>
      </c>
      <c r="C5" s="5"/>
      <c r="D5" s="5"/>
      <c r="E5" s="5"/>
      <c r="F5" s="4" t="s">
        <v>87</v>
      </c>
      <c r="G5" s="4" t="s">
        <v>102</v>
      </c>
      <c r="H5" s="4" t="s">
        <v>89</v>
      </c>
    </row>
    <row r="6" spans="1:8" ht="42.75">
      <c r="A6" s="4">
        <v>3</v>
      </c>
      <c r="B6" s="4" t="s">
        <v>103</v>
      </c>
      <c r="C6" s="5"/>
      <c r="D6" s="5"/>
      <c r="E6" s="5"/>
      <c r="F6" s="4" t="s">
        <v>87</v>
      </c>
      <c r="G6" s="4" t="s">
        <v>104</v>
      </c>
      <c r="H6" s="4" t="s">
        <v>105</v>
      </c>
    </row>
    <row r="8" spans="1:8" ht="15">
      <c r="A8" s="15" t="s">
        <v>90</v>
      </c>
      <c r="B8" s="15"/>
      <c r="C8" s="15"/>
      <c r="D8" s="15"/>
      <c r="E8" s="15"/>
      <c r="F8" s="15"/>
      <c r="G8" s="15"/>
      <c r="H8" s="15"/>
    </row>
    <row r="9" spans="1:8">
      <c r="A9" s="16" t="s">
        <v>106</v>
      </c>
      <c r="B9" s="16"/>
      <c r="C9" s="16"/>
      <c r="D9" s="16"/>
      <c r="E9" s="16"/>
      <c r="F9" s="16"/>
      <c r="G9" s="16"/>
      <c r="H9" s="16"/>
    </row>
    <row r="10" spans="1:8">
      <c r="A10" s="16"/>
      <c r="B10" s="16"/>
      <c r="C10" s="16"/>
      <c r="D10" s="16"/>
      <c r="E10" s="16"/>
      <c r="F10" s="16"/>
      <c r="G10" s="16"/>
      <c r="H10" s="16"/>
    </row>
    <row r="11" spans="1:8">
      <c r="A11" s="16"/>
      <c r="B11" s="16"/>
      <c r="C11" s="16"/>
      <c r="D11" s="16"/>
      <c r="E11" s="16"/>
      <c r="F11" s="16"/>
      <c r="G11" s="16"/>
      <c r="H11" s="16"/>
    </row>
  </sheetData>
  <mergeCells count="3">
    <mergeCell ref="A1:H1"/>
    <mergeCell ref="A8:H8"/>
    <mergeCell ref="A9:H11"/>
  </mergeCells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workbookViewId="0">
      <selection sqref="A1:H1"/>
    </sheetView>
  </sheetViews>
  <sheetFormatPr defaultRowHeight="14.25"/>
  <cols>
    <col min="1" max="1" width="7" customWidth="1"/>
    <col min="2" max="2" width="28" customWidth="1"/>
    <col min="3" max="3" width="14" customWidth="1"/>
    <col min="4" max="4" width="12" customWidth="1"/>
    <col min="5" max="5" width="14" customWidth="1"/>
    <col min="6" max="6" width="16" customWidth="1"/>
    <col min="7" max="7" width="36" customWidth="1"/>
    <col min="8" max="8" width="58" customWidth="1"/>
  </cols>
  <sheetData>
    <row r="1" spans="1:8" ht="30" customHeight="1">
      <c r="A1" s="14" t="s">
        <v>107</v>
      </c>
      <c r="B1" s="14"/>
      <c r="C1" s="14"/>
      <c r="D1" s="14"/>
      <c r="E1" s="14"/>
      <c r="F1" s="14"/>
      <c r="G1" s="14"/>
      <c r="H1" s="14"/>
    </row>
    <row r="3" spans="1:8" ht="15">
      <c r="A3" s="8" t="s">
        <v>77</v>
      </c>
      <c r="B3" s="8" t="s">
        <v>78</v>
      </c>
      <c r="C3" s="8" t="s">
        <v>5</v>
      </c>
      <c r="D3" s="8" t="s">
        <v>6</v>
      </c>
      <c r="E3" s="8" t="s">
        <v>79</v>
      </c>
      <c r="F3" s="8" t="s">
        <v>10</v>
      </c>
      <c r="G3" s="8" t="s">
        <v>80</v>
      </c>
      <c r="H3" s="8" t="s">
        <v>81</v>
      </c>
    </row>
    <row r="4" spans="1:8" ht="15">
      <c r="A4" s="9">
        <v>1</v>
      </c>
      <c r="B4" s="9" t="s">
        <v>24</v>
      </c>
      <c r="C4" s="10">
        <v>52000</v>
      </c>
      <c r="D4" s="10">
        <v>4000</v>
      </c>
      <c r="E4" s="10">
        <v>56000</v>
      </c>
      <c r="F4" s="9" t="s">
        <v>27</v>
      </c>
      <c r="G4" s="9" t="s">
        <v>108</v>
      </c>
      <c r="H4" s="9" t="s">
        <v>25</v>
      </c>
    </row>
    <row r="5" spans="1:8" ht="42.75">
      <c r="A5" s="4">
        <v>2</v>
      </c>
      <c r="B5" s="4" t="s">
        <v>109</v>
      </c>
      <c r="C5" s="5">
        <v>65000</v>
      </c>
      <c r="D5" s="5">
        <v>7000</v>
      </c>
      <c r="E5" s="5">
        <v>72000</v>
      </c>
      <c r="F5" s="4" t="s">
        <v>27</v>
      </c>
      <c r="G5" s="4" t="s">
        <v>110</v>
      </c>
      <c r="H5" s="4" t="s">
        <v>85</v>
      </c>
    </row>
    <row r="6" spans="1:8" ht="99.75">
      <c r="A6" s="4">
        <v>3</v>
      </c>
      <c r="B6" s="4" t="s">
        <v>111</v>
      </c>
      <c r="C6" s="5">
        <v>125000</v>
      </c>
      <c r="D6" s="5"/>
      <c r="E6" s="5"/>
      <c r="F6" s="4" t="s">
        <v>27</v>
      </c>
      <c r="G6" s="4" t="s">
        <v>112</v>
      </c>
      <c r="H6" s="4" t="s">
        <v>113</v>
      </c>
    </row>
    <row r="8" spans="1:8" ht="15">
      <c r="A8" s="15" t="s">
        <v>90</v>
      </c>
      <c r="B8" s="15"/>
      <c r="C8" s="15"/>
      <c r="D8" s="15"/>
      <c r="E8" s="15"/>
      <c r="F8" s="15"/>
      <c r="G8" s="15"/>
      <c r="H8" s="15"/>
    </row>
    <row r="9" spans="1:8">
      <c r="A9" s="16" t="s">
        <v>114</v>
      </c>
      <c r="B9" s="16"/>
      <c r="C9" s="16"/>
      <c r="D9" s="16"/>
      <c r="E9" s="16"/>
      <c r="F9" s="16"/>
      <c r="G9" s="16"/>
      <c r="H9" s="16"/>
    </row>
    <row r="10" spans="1:8">
      <c r="A10" s="16"/>
      <c r="B10" s="16"/>
      <c r="C10" s="16"/>
      <c r="D10" s="16"/>
      <c r="E10" s="16"/>
      <c r="F10" s="16"/>
      <c r="G10" s="16"/>
      <c r="H10" s="16"/>
    </row>
    <row r="11" spans="1:8">
      <c r="A11" s="16"/>
      <c r="B11" s="16"/>
      <c r="C11" s="16"/>
      <c r="D11" s="16"/>
      <c r="E11" s="16"/>
      <c r="F11" s="16"/>
      <c r="G11" s="16"/>
      <c r="H11" s="16"/>
    </row>
  </sheetData>
  <mergeCells count="3">
    <mergeCell ref="A1:H1"/>
    <mergeCell ref="A8:H8"/>
    <mergeCell ref="A9:H11"/>
  </mergeCells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"/>
  <sheetViews>
    <sheetView workbookViewId="0">
      <selection sqref="A1:H1"/>
    </sheetView>
  </sheetViews>
  <sheetFormatPr defaultRowHeight="14.25"/>
  <cols>
    <col min="1" max="1" width="7" customWidth="1"/>
    <col min="2" max="2" width="28" customWidth="1"/>
    <col min="3" max="3" width="14" customWidth="1"/>
    <col min="4" max="4" width="12" customWidth="1"/>
    <col min="5" max="5" width="14" customWidth="1"/>
    <col min="6" max="6" width="16" customWidth="1"/>
    <col min="7" max="7" width="36" customWidth="1"/>
    <col min="8" max="8" width="58" customWidth="1"/>
  </cols>
  <sheetData>
    <row r="1" spans="1:8" ht="30" customHeight="1">
      <c r="A1" s="14" t="s">
        <v>115</v>
      </c>
      <c r="B1" s="14"/>
      <c r="C1" s="14"/>
      <c r="D1" s="14"/>
      <c r="E1" s="14"/>
      <c r="F1" s="14"/>
      <c r="G1" s="14"/>
      <c r="H1" s="14"/>
    </row>
    <row r="3" spans="1:8" ht="15">
      <c r="A3" s="8" t="s">
        <v>77</v>
      </c>
      <c r="B3" s="8" t="s">
        <v>78</v>
      </c>
      <c r="C3" s="8" t="s">
        <v>5</v>
      </c>
      <c r="D3" s="8" t="s">
        <v>6</v>
      </c>
      <c r="E3" s="8" t="s">
        <v>79</v>
      </c>
      <c r="F3" s="8" t="s">
        <v>10</v>
      </c>
      <c r="G3" s="8" t="s">
        <v>80</v>
      </c>
      <c r="H3" s="8" t="s">
        <v>81</v>
      </c>
    </row>
    <row r="4" spans="1:8" ht="15">
      <c r="A4" s="9">
        <v>1</v>
      </c>
      <c r="B4" s="9" t="s">
        <v>29</v>
      </c>
      <c r="C4" s="10">
        <v>15100</v>
      </c>
      <c r="D4" s="10">
        <v>0</v>
      </c>
      <c r="E4" s="10">
        <v>15100</v>
      </c>
      <c r="F4" s="9" t="s">
        <v>15</v>
      </c>
      <c r="G4" s="9" t="s">
        <v>116</v>
      </c>
      <c r="H4" s="9" t="s">
        <v>30</v>
      </c>
    </row>
    <row r="5" spans="1:8">
      <c r="A5" s="4">
        <v>2</v>
      </c>
      <c r="B5" s="4" t="s">
        <v>86</v>
      </c>
      <c r="C5" s="5"/>
      <c r="D5" s="5"/>
      <c r="E5" s="5"/>
      <c r="F5" s="4" t="s">
        <v>87</v>
      </c>
      <c r="G5" s="4" t="s">
        <v>117</v>
      </c>
      <c r="H5" s="4" t="s">
        <v>89</v>
      </c>
    </row>
    <row r="6" spans="1:8" ht="28.5">
      <c r="A6" s="4">
        <v>3</v>
      </c>
      <c r="B6" s="4" t="s">
        <v>103</v>
      </c>
      <c r="C6" s="5"/>
      <c r="D6" s="5"/>
      <c r="E6" s="5"/>
      <c r="F6" s="4" t="s">
        <v>87</v>
      </c>
      <c r="G6" s="4" t="s">
        <v>118</v>
      </c>
      <c r="H6" s="4" t="s">
        <v>119</v>
      </c>
    </row>
    <row r="8" spans="1:8" ht="15">
      <c r="A8" s="15" t="s">
        <v>90</v>
      </c>
      <c r="B8" s="15"/>
      <c r="C8" s="15"/>
      <c r="D8" s="15"/>
      <c r="E8" s="15"/>
      <c r="F8" s="15"/>
      <c r="G8" s="15"/>
      <c r="H8" s="15"/>
    </row>
    <row r="9" spans="1:8">
      <c r="A9" s="16" t="s">
        <v>120</v>
      </c>
      <c r="B9" s="16"/>
      <c r="C9" s="16"/>
      <c r="D9" s="16"/>
      <c r="E9" s="16"/>
      <c r="F9" s="16"/>
      <c r="G9" s="16"/>
      <c r="H9" s="16"/>
    </row>
    <row r="10" spans="1:8">
      <c r="A10" s="16"/>
      <c r="B10" s="16"/>
      <c r="C10" s="16"/>
      <c r="D10" s="16"/>
      <c r="E10" s="16"/>
      <c r="F10" s="16"/>
      <c r="G10" s="16"/>
      <c r="H10" s="16"/>
    </row>
    <row r="11" spans="1:8">
      <c r="A11" s="16"/>
      <c r="B11" s="16"/>
      <c r="C11" s="16"/>
      <c r="D11" s="16"/>
      <c r="E11" s="16"/>
      <c r="F11" s="16"/>
      <c r="G11" s="16"/>
      <c r="H11" s="16"/>
    </row>
  </sheetData>
  <mergeCells count="3">
    <mergeCell ref="A1:H1"/>
    <mergeCell ref="A8:H8"/>
    <mergeCell ref="A9:H11"/>
  </mergeCells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1"/>
  <sheetViews>
    <sheetView workbookViewId="0"/>
  </sheetViews>
  <sheetFormatPr defaultRowHeight="14.25"/>
  <cols>
    <col min="1" max="1" width="7" customWidth="1"/>
    <col min="2" max="2" width="28" customWidth="1"/>
    <col min="3" max="3" width="14" customWidth="1"/>
    <col min="4" max="4" width="12" customWidth="1"/>
    <col min="5" max="5" width="14" customWidth="1"/>
    <col min="6" max="6" width="16" customWidth="1"/>
    <col min="7" max="7" width="36" customWidth="1"/>
    <col min="8" max="8" width="58" customWidth="1"/>
  </cols>
  <sheetData>
    <row r="1" spans="1:8" ht="30" customHeight="1">
      <c r="A1" s="14" t="s">
        <v>121</v>
      </c>
      <c r="B1" s="14"/>
      <c r="C1" s="14"/>
      <c r="D1" s="14"/>
      <c r="E1" s="14"/>
      <c r="F1" s="14"/>
      <c r="G1" s="14"/>
      <c r="H1" s="14"/>
    </row>
    <row r="3" spans="1:8" ht="15">
      <c r="A3" s="8" t="s">
        <v>77</v>
      </c>
      <c r="B3" s="8" t="s">
        <v>78</v>
      </c>
      <c r="C3" s="8" t="s">
        <v>5</v>
      </c>
      <c r="D3" s="8" t="s">
        <v>6</v>
      </c>
      <c r="E3" s="8" t="s">
        <v>79</v>
      </c>
      <c r="F3" s="8" t="s">
        <v>10</v>
      </c>
      <c r="G3" s="8" t="s">
        <v>80</v>
      </c>
      <c r="H3" s="8" t="s">
        <v>81</v>
      </c>
    </row>
    <row r="4" spans="1:8" ht="30">
      <c r="A4" s="9">
        <v>1</v>
      </c>
      <c r="B4" s="9" t="s">
        <v>33</v>
      </c>
      <c r="C4" s="10">
        <v>14100</v>
      </c>
      <c r="D4" s="10">
        <v>4000</v>
      </c>
      <c r="E4" s="10">
        <v>18100</v>
      </c>
      <c r="F4" s="9" t="s">
        <v>27</v>
      </c>
      <c r="G4" s="9" t="s">
        <v>122</v>
      </c>
      <c r="H4" s="9" t="s">
        <v>34</v>
      </c>
    </row>
    <row r="5" spans="1:8">
      <c r="A5" s="4">
        <v>2</v>
      </c>
      <c r="B5" s="4" t="s">
        <v>123</v>
      </c>
      <c r="C5" s="5">
        <v>13810</v>
      </c>
      <c r="D5" s="5">
        <v>5000</v>
      </c>
      <c r="E5" s="5">
        <v>18810</v>
      </c>
      <c r="F5" s="4" t="s">
        <v>27</v>
      </c>
      <c r="G5" s="4" t="s">
        <v>124</v>
      </c>
      <c r="H5" s="4" t="s">
        <v>89</v>
      </c>
    </row>
    <row r="6" spans="1:8">
      <c r="A6" s="4">
        <v>3</v>
      </c>
      <c r="B6" s="4" t="s">
        <v>125</v>
      </c>
      <c r="C6" s="5">
        <v>55300</v>
      </c>
      <c r="D6" s="5">
        <v>0</v>
      </c>
      <c r="E6" s="5">
        <v>55300</v>
      </c>
      <c r="F6" s="4" t="s">
        <v>27</v>
      </c>
      <c r="G6" s="4" t="s">
        <v>126</v>
      </c>
      <c r="H6" s="4" t="s">
        <v>127</v>
      </c>
    </row>
    <row r="8" spans="1:8" ht="15">
      <c r="A8" s="15" t="s">
        <v>90</v>
      </c>
      <c r="B8" s="15"/>
      <c r="C8" s="15"/>
      <c r="D8" s="15"/>
      <c r="E8" s="15"/>
      <c r="F8" s="15"/>
      <c r="G8" s="15"/>
      <c r="H8" s="15"/>
    </row>
    <row r="9" spans="1:8">
      <c r="A9" s="16" t="s">
        <v>128</v>
      </c>
      <c r="B9" s="16"/>
      <c r="C9" s="16"/>
      <c r="D9" s="16"/>
      <c r="E9" s="16"/>
      <c r="F9" s="16"/>
      <c r="G9" s="16"/>
      <c r="H9" s="16"/>
    </row>
    <row r="10" spans="1:8">
      <c r="A10" s="16"/>
      <c r="B10" s="16"/>
      <c r="C10" s="16"/>
      <c r="D10" s="16"/>
      <c r="E10" s="16"/>
      <c r="F10" s="16"/>
      <c r="G10" s="16"/>
      <c r="H10" s="16"/>
    </row>
    <row r="11" spans="1:8">
      <c r="A11" s="16"/>
      <c r="B11" s="16"/>
      <c r="C11" s="16"/>
      <c r="D11" s="16"/>
      <c r="E11" s="16"/>
      <c r="F11" s="16"/>
      <c r="G11" s="16"/>
      <c r="H11" s="16"/>
    </row>
  </sheetData>
  <mergeCells count="3">
    <mergeCell ref="A1:H1"/>
    <mergeCell ref="A8:H8"/>
    <mergeCell ref="A9:H11"/>
  </mergeCells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1"/>
  <sheetViews>
    <sheetView workbookViewId="0"/>
  </sheetViews>
  <sheetFormatPr defaultRowHeight="14.25"/>
  <cols>
    <col min="1" max="1" width="7" customWidth="1"/>
    <col min="2" max="2" width="28" customWidth="1"/>
    <col min="3" max="3" width="14" customWidth="1"/>
    <col min="4" max="4" width="12" customWidth="1"/>
    <col min="5" max="5" width="14" customWidth="1"/>
    <col min="6" max="6" width="16" customWidth="1"/>
    <col min="7" max="7" width="36" customWidth="1"/>
    <col min="8" max="8" width="58" customWidth="1"/>
  </cols>
  <sheetData>
    <row r="1" spans="1:8" ht="30" customHeight="1">
      <c r="A1" s="14" t="s">
        <v>129</v>
      </c>
      <c r="B1" s="14"/>
      <c r="C1" s="14"/>
      <c r="D1" s="14"/>
      <c r="E1" s="14"/>
      <c r="F1" s="14"/>
      <c r="G1" s="14"/>
      <c r="H1" s="14"/>
    </row>
    <row r="3" spans="1:8" ht="15">
      <c r="A3" s="8" t="s">
        <v>77</v>
      </c>
      <c r="B3" s="8" t="s">
        <v>78</v>
      </c>
      <c r="C3" s="8" t="s">
        <v>5</v>
      </c>
      <c r="D3" s="8" t="s">
        <v>6</v>
      </c>
      <c r="E3" s="8" t="s">
        <v>79</v>
      </c>
      <c r="F3" s="8" t="s">
        <v>10</v>
      </c>
      <c r="G3" s="8" t="s">
        <v>80</v>
      </c>
      <c r="H3" s="8" t="s">
        <v>81</v>
      </c>
    </row>
    <row r="4" spans="1:8" ht="15">
      <c r="A4" s="9">
        <v>1</v>
      </c>
      <c r="B4" s="9" t="s">
        <v>37</v>
      </c>
      <c r="C4" s="10">
        <v>36000</v>
      </c>
      <c r="D4" s="10">
        <v>3500</v>
      </c>
      <c r="E4" s="10">
        <v>39500</v>
      </c>
      <c r="F4" s="9" t="s">
        <v>15</v>
      </c>
      <c r="G4" s="9" t="s">
        <v>130</v>
      </c>
      <c r="H4" s="9" t="s">
        <v>38</v>
      </c>
    </row>
    <row r="5" spans="1:8">
      <c r="A5" s="4">
        <v>2</v>
      </c>
      <c r="B5" s="4" t="s">
        <v>86</v>
      </c>
      <c r="C5" s="5"/>
      <c r="D5" s="5"/>
      <c r="E5" s="5"/>
      <c r="F5" s="4" t="s">
        <v>87</v>
      </c>
      <c r="G5" s="4" t="s">
        <v>131</v>
      </c>
      <c r="H5" s="4" t="s">
        <v>89</v>
      </c>
    </row>
    <row r="6" spans="1:8" ht="42.75">
      <c r="A6" s="4">
        <v>3</v>
      </c>
      <c r="B6" s="4" t="s">
        <v>103</v>
      </c>
      <c r="C6" s="5"/>
      <c r="D6" s="5"/>
      <c r="E6" s="5"/>
      <c r="F6" s="4" t="s">
        <v>87</v>
      </c>
      <c r="G6" s="4" t="s">
        <v>132</v>
      </c>
      <c r="H6" s="4" t="s">
        <v>133</v>
      </c>
    </row>
    <row r="8" spans="1:8" ht="15">
      <c r="A8" s="15" t="s">
        <v>90</v>
      </c>
      <c r="B8" s="15"/>
      <c r="C8" s="15"/>
      <c r="D8" s="15"/>
      <c r="E8" s="15"/>
      <c r="F8" s="15"/>
      <c r="G8" s="15"/>
      <c r="H8" s="15"/>
    </row>
    <row r="9" spans="1:8">
      <c r="A9" s="16" t="s">
        <v>134</v>
      </c>
      <c r="B9" s="16"/>
      <c r="C9" s="16"/>
      <c r="D9" s="16"/>
      <c r="E9" s="16"/>
      <c r="F9" s="16"/>
      <c r="G9" s="16"/>
      <c r="H9" s="16"/>
    </row>
    <row r="10" spans="1:8">
      <c r="A10" s="16"/>
      <c r="B10" s="16"/>
      <c r="C10" s="16"/>
      <c r="D10" s="16"/>
      <c r="E10" s="16"/>
      <c r="F10" s="16"/>
      <c r="G10" s="16"/>
      <c r="H10" s="16"/>
    </row>
    <row r="11" spans="1:8">
      <c r="A11" s="16"/>
      <c r="B11" s="16"/>
      <c r="C11" s="16"/>
      <c r="D11" s="16"/>
      <c r="E11" s="16"/>
      <c r="F11" s="16"/>
      <c r="G11" s="16"/>
      <c r="H11" s="16"/>
    </row>
  </sheetData>
  <mergeCells count="3">
    <mergeCell ref="A1:H1"/>
    <mergeCell ref="A8:H8"/>
    <mergeCell ref="A9:H11"/>
  </mergeCells>
  <phoneticPr fontId="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1"/>
  <sheetViews>
    <sheetView workbookViewId="0"/>
  </sheetViews>
  <sheetFormatPr defaultRowHeight="14.25"/>
  <cols>
    <col min="1" max="1" width="7" customWidth="1"/>
    <col min="2" max="2" width="28" customWidth="1"/>
    <col min="3" max="3" width="14" customWidth="1"/>
    <col min="4" max="4" width="12" customWidth="1"/>
    <col min="5" max="5" width="14" customWidth="1"/>
    <col min="6" max="6" width="16" customWidth="1"/>
    <col min="7" max="7" width="36" customWidth="1"/>
    <col min="8" max="8" width="58" customWidth="1"/>
  </cols>
  <sheetData>
    <row r="1" spans="1:8" ht="30" customHeight="1">
      <c r="A1" s="14" t="s">
        <v>135</v>
      </c>
      <c r="B1" s="14"/>
      <c r="C1" s="14"/>
      <c r="D1" s="14"/>
      <c r="E1" s="14"/>
      <c r="F1" s="14"/>
      <c r="G1" s="14"/>
      <c r="H1" s="14"/>
    </row>
    <row r="3" spans="1:8" ht="15">
      <c r="A3" s="8" t="s">
        <v>77</v>
      </c>
      <c r="B3" s="8" t="s">
        <v>78</v>
      </c>
      <c r="C3" s="8" t="s">
        <v>5</v>
      </c>
      <c r="D3" s="8" t="s">
        <v>6</v>
      </c>
      <c r="E3" s="8" t="s">
        <v>79</v>
      </c>
      <c r="F3" s="8" t="s">
        <v>10</v>
      </c>
      <c r="G3" s="8" t="s">
        <v>80</v>
      </c>
      <c r="H3" s="8" t="s">
        <v>81</v>
      </c>
    </row>
    <row r="4" spans="1:8" ht="15">
      <c r="A4" s="9">
        <v>1</v>
      </c>
      <c r="B4" s="9" t="s">
        <v>41</v>
      </c>
      <c r="C4" s="10">
        <v>98000</v>
      </c>
      <c r="D4" s="10">
        <v>7000</v>
      </c>
      <c r="E4" s="10">
        <v>105000</v>
      </c>
      <c r="F4" s="9" t="s">
        <v>15</v>
      </c>
      <c r="G4" s="9" t="s">
        <v>136</v>
      </c>
      <c r="H4" s="9" t="s">
        <v>42</v>
      </c>
    </row>
    <row r="5" spans="1:8" ht="42.75">
      <c r="A5" s="4">
        <v>2</v>
      </c>
      <c r="B5" s="4" t="s">
        <v>83</v>
      </c>
      <c r="C5" s="5">
        <v>98000</v>
      </c>
      <c r="D5" s="5">
        <v>7000</v>
      </c>
      <c r="E5" s="5">
        <v>105000</v>
      </c>
      <c r="F5" s="4" t="s">
        <v>27</v>
      </c>
      <c r="G5" s="4" t="s">
        <v>136</v>
      </c>
      <c r="H5" s="4" t="s">
        <v>85</v>
      </c>
    </row>
    <row r="6" spans="1:8" ht="28.5">
      <c r="A6" s="4">
        <v>3</v>
      </c>
      <c r="B6" s="4" t="s">
        <v>103</v>
      </c>
      <c r="C6" s="5"/>
      <c r="D6" s="5"/>
      <c r="E6" s="5"/>
      <c r="F6" s="4" t="s">
        <v>87</v>
      </c>
      <c r="G6" s="4" t="s">
        <v>137</v>
      </c>
      <c r="H6" s="4" t="s">
        <v>138</v>
      </c>
    </row>
    <row r="8" spans="1:8" ht="15">
      <c r="A8" s="15" t="s">
        <v>90</v>
      </c>
      <c r="B8" s="15"/>
      <c r="C8" s="15"/>
      <c r="D8" s="15"/>
      <c r="E8" s="15"/>
      <c r="F8" s="15"/>
      <c r="G8" s="15"/>
      <c r="H8" s="15"/>
    </row>
    <row r="9" spans="1:8">
      <c r="A9" s="16" t="s">
        <v>139</v>
      </c>
      <c r="B9" s="16"/>
      <c r="C9" s="16"/>
      <c r="D9" s="16"/>
      <c r="E9" s="16"/>
      <c r="F9" s="16"/>
      <c r="G9" s="16"/>
      <c r="H9" s="16"/>
    </row>
    <row r="10" spans="1:8">
      <c r="A10" s="16"/>
      <c r="B10" s="16"/>
      <c r="C10" s="16"/>
      <c r="D10" s="16"/>
      <c r="E10" s="16"/>
      <c r="F10" s="16"/>
      <c r="G10" s="16"/>
      <c r="H10" s="16"/>
    </row>
    <row r="11" spans="1:8">
      <c r="A11" s="16"/>
      <c r="B11" s="16"/>
      <c r="C11" s="16"/>
      <c r="D11" s="16"/>
      <c r="E11" s="16"/>
      <c r="F11" s="16"/>
      <c r="G11" s="16"/>
      <c r="H11" s="16"/>
    </row>
  </sheetData>
  <mergeCells count="3">
    <mergeCell ref="A1:H1"/>
    <mergeCell ref="A8:H8"/>
    <mergeCell ref="A9:H11"/>
  </mergeCells>
  <phoneticPr fontId="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1"/>
  <sheetViews>
    <sheetView workbookViewId="0"/>
  </sheetViews>
  <sheetFormatPr defaultRowHeight="14.25"/>
  <cols>
    <col min="1" max="1" width="7" customWidth="1"/>
    <col min="2" max="2" width="28" customWidth="1"/>
    <col min="3" max="3" width="14" customWidth="1"/>
    <col min="4" max="4" width="12" customWidth="1"/>
    <col min="5" max="5" width="14" customWidth="1"/>
    <col min="6" max="6" width="16" customWidth="1"/>
    <col min="7" max="7" width="36" customWidth="1"/>
    <col min="8" max="8" width="58" customWidth="1"/>
  </cols>
  <sheetData>
    <row r="1" spans="1:8" ht="30" customHeight="1">
      <c r="A1" s="14" t="s">
        <v>140</v>
      </c>
      <c r="B1" s="14"/>
      <c r="C1" s="14"/>
      <c r="D1" s="14"/>
      <c r="E1" s="14"/>
      <c r="F1" s="14"/>
      <c r="G1" s="14"/>
      <c r="H1" s="14"/>
    </row>
    <row r="3" spans="1:8" ht="15">
      <c r="A3" s="8" t="s">
        <v>77</v>
      </c>
      <c r="B3" s="8" t="s">
        <v>78</v>
      </c>
      <c r="C3" s="8" t="s">
        <v>5</v>
      </c>
      <c r="D3" s="8" t="s">
        <v>6</v>
      </c>
      <c r="E3" s="8" t="s">
        <v>79</v>
      </c>
      <c r="F3" s="8" t="s">
        <v>10</v>
      </c>
      <c r="G3" s="8" t="s">
        <v>80</v>
      </c>
      <c r="H3" s="8" t="s">
        <v>81</v>
      </c>
    </row>
    <row r="4" spans="1:8" ht="15">
      <c r="A4" s="9">
        <v>1</v>
      </c>
      <c r="B4" s="9" t="s">
        <v>41</v>
      </c>
      <c r="C4" s="10">
        <v>7000</v>
      </c>
      <c r="D4" s="10">
        <v>7000</v>
      </c>
      <c r="E4" s="10">
        <v>14000</v>
      </c>
      <c r="F4" s="9" t="s">
        <v>15</v>
      </c>
      <c r="G4" s="9" t="s">
        <v>141</v>
      </c>
      <c r="H4" s="9" t="s">
        <v>45</v>
      </c>
    </row>
    <row r="5" spans="1:8" ht="42.75">
      <c r="A5" s="4">
        <v>2</v>
      </c>
      <c r="B5" s="4" t="s">
        <v>86</v>
      </c>
      <c r="C5" s="5"/>
      <c r="D5" s="5"/>
      <c r="E5" s="5"/>
      <c r="F5" s="4" t="s">
        <v>87</v>
      </c>
      <c r="G5" s="4" t="s">
        <v>142</v>
      </c>
      <c r="H5" s="4" t="s">
        <v>85</v>
      </c>
    </row>
    <row r="6" spans="1:8" ht="28.5">
      <c r="A6" s="4">
        <v>3</v>
      </c>
      <c r="B6" s="4" t="s">
        <v>103</v>
      </c>
      <c r="C6" s="5"/>
      <c r="D6" s="5"/>
      <c r="E6" s="5"/>
      <c r="F6" s="4" t="s">
        <v>87</v>
      </c>
      <c r="G6" s="4" t="s">
        <v>104</v>
      </c>
      <c r="H6" s="4" t="s">
        <v>143</v>
      </c>
    </row>
    <row r="8" spans="1:8" ht="15">
      <c r="A8" s="15" t="s">
        <v>90</v>
      </c>
      <c r="B8" s="15"/>
      <c r="C8" s="15"/>
      <c r="D8" s="15"/>
      <c r="E8" s="15"/>
      <c r="F8" s="15"/>
      <c r="G8" s="15"/>
      <c r="H8" s="15"/>
    </row>
    <row r="9" spans="1:8">
      <c r="A9" s="16" t="s">
        <v>144</v>
      </c>
      <c r="B9" s="16"/>
      <c r="C9" s="16"/>
      <c r="D9" s="16"/>
      <c r="E9" s="16"/>
      <c r="F9" s="16"/>
      <c r="G9" s="16"/>
      <c r="H9" s="16"/>
    </row>
    <row r="10" spans="1:8">
      <c r="A10" s="16"/>
      <c r="B10" s="16"/>
      <c r="C10" s="16"/>
      <c r="D10" s="16"/>
      <c r="E10" s="16"/>
      <c r="F10" s="16"/>
      <c r="G10" s="16"/>
      <c r="H10" s="16"/>
    </row>
    <row r="11" spans="1:8">
      <c r="A11" s="16"/>
      <c r="B11" s="16"/>
      <c r="C11" s="16"/>
      <c r="D11" s="16"/>
      <c r="E11" s="16"/>
      <c r="F11" s="16"/>
      <c r="G11" s="16"/>
      <c r="H11" s="16"/>
    </row>
  </sheetData>
  <mergeCells count="3">
    <mergeCell ref="A1:H1"/>
    <mergeCell ref="A8:H8"/>
    <mergeCell ref="A9:H11"/>
  </mergeCells>
  <phoneticPr fontId="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1"/>
  <sheetViews>
    <sheetView workbookViewId="0"/>
  </sheetViews>
  <sheetFormatPr defaultRowHeight="14.25"/>
  <cols>
    <col min="1" max="1" width="7" customWidth="1"/>
    <col min="2" max="2" width="28" customWidth="1"/>
    <col min="3" max="3" width="14" customWidth="1"/>
    <col min="4" max="4" width="12" customWidth="1"/>
    <col min="5" max="5" width="14" customWidth="1"/>
    <col min="6" max="6" width="16" customWidth="1"/>
    <col min="7" max="7" width="36" customWidth="1"/>
    <col min="8" max="8" width="58" customWidth="1"/>
  </cols>
  <sheetData>
    <row r="1" spans="1:8" ht="30" customHeight="1">
      <c r="A1" s="14" t="s">
        <v>145</v>
      </c>
      <c r="B1" s="14"/>
      <c r="C1" s="14"/>
      <c r="D1" s="14"/>
      <c r="E1" s="14"/>
      <c r="F1" s="14"/>
      <c r="G1" s="14"/>
      <c r="H1" s="14"/>
    </row>
    <row r="3" spans="1:8" ht="15">
      <c r="A3" s="8" t="s">
        <v>77</v>
      </c>
      <c r="B3" s="8" t="s">
        <v>78</v>
      </c>
      <c r="C3" s="8" t="s">
        <v>5</v>
      </c>
      <c r="D3" s="8" t="s">
        <v>6</v>
      </c>
      <c r="E3" s="8" t="s">
        <v>79</v>
      </c>
      <c r="F3" s="8" t="s">
        <v>10</v>
      </c>
      <c r="G3" s="8" t="s">
        <v>80</v>
      </c>
      <c r="H3" s="8" t="s">
        <v>81</v>
      </c>
    </row>
    <row r="4" spans="1:8" ht="15">
      <c r="A4" s="9">
        <v>1</v>
      </c>
      <c r="B4" s="9" t="s">
        <v>41</v>
      </c>
      <c r="C4" s="10">
        <v>15000</v>
      </c>
      <c r="D4" s="10">
        <v>7000</v>
      </c>
      <c r="E4" s="10">
        <v>22000</v>
      </c>
      <c r="F4" s="9" t="s">
        <v>15</v>
      </c>
      <c r="G4" s="9" t="s">
        <v>136</v>
      </c>
      <c r="H4" s="9" t="s">
        <v>48</v>
      </c>
    </row>
    <row r="5" spans="1:8" ht="42.75">
      <c r="A5" s="4">
        <v>2</v>
      </c>
      <c r="B5" s="4" t="s">
        <v>86</v>
      </c>
      <c r="C5" s="5">
        <v>15000</v>
      </c>
      <c r="D5" s="5">
        <v>7000</v>
      </c>
      <c r="E5" s="5">
        <v>22000</v>
      </c>
      <c r="F5" s="4" t="s">
        <v>146</v>
      </c>
      <c r="G5" s="4" t="s">
        <v>82</v>
      </c>
      <c r="H5" s="4" t="s">
        <v>85</v>
      </c>
    </row>
    <row r="6" spans="1:8" ht="28.5">
      <c r="A6" s="4">
        <v>3</v>
      </c>
      <c r="B6" s="4" t="s">
        <v>103</v>
      </c>
      <c r="C6" s="5"/>
      <c r="D6" s="5"/>
      <c r="E6" s="5"/>
      <c r="F6" s="4" t="s">
        <v>87</v>
      </c>
      <c r="G6" s="4" t="s">
        <v>147</v>
      </c>
      <c r="H6" s="4" t="s">
        <v>148</v>
      </c>
    </row>
    <row r="8" spans="1:8" ht="15">
      <c r="A8" s="15" t="s">
        <v>90</v>
      </c>
      <c r="B8" s="15"/>
      <c r="C8" s="15"/>
      <c r="D8" s="15"/>
      <c r="E8" s="15"/>
      <c r="F8" s="15"/>
      <c r="G8" s="15"/>
      <c r="H8" s="15"/>
    </row>
    <row r="9" spans="1:8">
      <c r="A9" s="16" t="s">
        <v>149</v>
      </c>
      <c r="B9" s="16"/>
      <c r="C9" s="16"/>
      <c r="D9" s="16"/>
      <c r="E9" s="16"/>
      <c r="F9" s="16"/>
      <c r="G9" s="16"/>
      <c r="H9" s="16"/>
    </row>
    <row r="10" spans="1:8">
      <c r="A10" s="16"/>
      <c r="B10" s="16"/>
      <c r="C10" s="16"/>
      <c r="D10" s="16"/>
      <c r="E10" s="16"/>
      <c r="F10" s="16"/>
      <c r="G10" s="16"/>
      <c r="H10" s="16"/>
    </row>
    <row r="11" spans="1:8">
      <c r="A11" s="16"/>
      <c r="B11" s="16"/>
      <c r="C11" s="16"/>
      <c r="D11" s="16"/>
      <c r="E11" s="16"/>
      <c r="F11" s="16"/>
      <c r="G11" s="16"/>
      <c r="H11" s="16"/>
    </row>
  </sheetData>
  <mergeCells count="3">
    <mergeCell ref="A1:H1"/>
    <mergeCell ref="A8:H8"/>
    <mergeCell ref="A9:H11"/>
  </mergeCells>
  <phoneticPr fontId="7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1"/>
  <sheetViews>
    <sheetView workbookViewId="0"/>
  </sheetViews>
  <sheetFormatPr defaultRowHeight="14.25"/>
  <cols>
    <col min="1" max="1" width="7" customWidth="1"/>
    <col min="2" max="2" width="28" customWidth="1"/>
    <col min="3" max="3" width="14" customWidth="1"/>
    <col min="4" max="4" width="12" customWidth="1"/>
    <col min="5" max="5" width="14" customWidth="1"/>
    <col min="6" max="6" width="16" customWidth="1"/>
    <col min="7" max="7" width="36" customWidth="1"/>
    <col min="8" max="8" width="58" customWidth="1"/>
  </cols>
  <sheetData>
    <row r="1" spans="1:8" ht="30" customHeight="1">
      <c r="A1" s="14" t="s">
        <v>150</v>
      </c>
      <c r="B1" s="14"/>
      <c r="C1" s="14"/>
      <c r="D1" s="14"/>
      <c r="E1" s="14"/>
      <c r="F1" s="14"/>
      <c r="G1" s="14"/>
      <c r="H1" s="14"/>
    </row>
    <row r="3" spans="1:8" ht="15">
      <c r="A3" s="8" t="s">
        <v>77</v>
      </c>
      <c r="B3" s="8" t="s">
        <v>78</v>
      </c>
      <c r="C3" s="8" t="s">
        <v>5</v>
      </c>
      <c r="D3" s="8" t="s">
        <v>6</v>
      </c>
      <c r="E3" s="8" t="s">
        <v>79</v>
      </c>
      <c r="F3" s="8" t="s">
        <v>10</v>
      </c>
      <c r="G3" s="8" t="s">
        <v>80</v>
      </c>
      <c r="H3" s="8" t="s">
        <v>81</v>
      </c>
    </row>
    <row r="4" spans="1:8" ht="15">
      <c r="A4" s="9">
        <v>1</v>
      </c>
      <c r="B4" s="9" t="s">
        <v>51</v>
      </c>
      <c r="C4" s="10">
        <v>52800</v>
      </c>
      <c r="D4" s="10">
        <v>7000</v>
      </c>
      <c r="E4" s="10">
        <v>59800</v>
      </c>
      <c r="F4" s="9" t="s">
        <v>15</v>
      </c>
      <c r="G4" s="9" t="s">
        <v>82</v>
      </c>
      <c r="H4" s="9" t="s">
        <v>52</v>
      </c>
    </row>
    <row r="5" spans="1:8" ht="42.75">
      <c r="A5" s="4">
        <v>2</v>
      </c>
      <c r="B5" s="4" t="s">
        <v>86</v>
      </c>
      <c r="C5" s="5">
        <v>52800</v>
      </c>
      <c r="D5" s="5">
        <v>7000</v>
      </c>
      <c r="E5" s="5">
        <v>59800</v>
      </c>
      <c r="F5" s="4" t="s">
        <v>146</v>
      </c>
      <c r="G5" s="4" t="s">
        <v>82</v>
      </c>
      <c r="H5" s="4" t="s">
        <v>85</v>
      </c>
    </row>
    <row r="6" spans="1:8" ht="28.5">
      <c r="A6" s="4">
        <v>3</v>
      </c>
      <c r="B6" s="4" t="s">
        <v>103</v>
      </c>
      <c r="C6" s="5"/>
      <c r="D6" s="5"/>
      <c r="E6" s="5"/>
      <c r="F6" s="4" t="s">
        <v>87</v>
      </c>
      <c r="G6" s="4" t="s">
        <v>151</v>
      </c>
      <c r="H6" s="4" t="s">
        <v>152</v>
      </c>
    </row>
    <row r="8" spans="1:8" ht="15">
      <c r="A8" s="15" t="s">
        <v>90</v>
      </c>
      <c r="B8" s="15"/>
      <c r="C8" s="15"/>
      <c r="D8" s="15"/>
      <c r="E8" s="15"/>
      <c r="F8" s="15"/>
      <c r="G8" s="15"/>
      <c r="H8" s="15"/>
    </row>
    <row r="9" spans="1:8">
      <c r="A9" s="16" t="s">
        <v>153</v>
      </c>
      <c r="B9" s="16"/>
      <c r="C9" s="16"/>
      <c r="D9" s="16"/>
      <c r="E9" s="16"/>
      <c r="F9" s="16"/>
      <c r="G9" s="16"/>
      <c r="H9" s="16"/>
    </row>
    <row r="10" spans="1:8">
      <c r="A10" s="16"/>
      <c r="B10" s="16"/>
      <c r="C10" s="16"/>
      <c r="D10" s="16"/>
      <c r="E10" s="16"/>
      <c r="F10" s="16"/>
      <c r="G10" s="16"/>
      <c r="H10" s="16"/>
    </row>
    <row r="11" spans="1:8">
      <c r="A11" s="16"/>
      <c r="B11" s="16"/>
      <c r="C11" s="16"/>
      <c r="D11" s="16"/>
      <c r="E11" s="16"/>
      <c r="F11" s="16"/>
      <c r="G11" s="16"/>
      <c r="H11" s="16"/>
    </row>
  </sheetData>
  <mergeCells count="3">
    <mergeCell ref="A1:H1"/>
    <mergeCell ref="A8:H8"/>
    <mergeCell ref="A9:H11"/>
  </mergeCells>
  <phoneticPr fontId="7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1"/>
  <sheetViews>
    <sheetView workbookViewId="0"/>
  </sheetViews>
  <sheetFormatPr defaultRowHeight="14.25"/>
  <cols>
    <col min="1" max="1" width="7" customWidth="1"/>
    <col min="2" max="2" width="28" customWidth="1"/>
    <col min="3" max="3" width="14" customWidth="1"/>
    <col min="4" max="4" width="12" customWidth="1"/>
    <col min="5" max="5" width="14" customWidth="1"/>
    <col min="6" max="6" width="16" customWidth="1"/>
    <col min="7" max="7" width="36" customWidth="1"/>
    <col min="8" max="8" width="58" customWidth="1"/>
  </cols>
  <sheetData>
    <row r="1" spans="1:8" ht="30" customHeight="1">
      <c r="A1" s="14" t="s">
        <v>154</v>
      </c>
      <c r="B1" s="14"/>
      <c r="C1" s="14"/>
      <c r="D1" s="14"/>
      <c r="E1" s="14"/>
      <c r="F1" s="14"/>
      <c r="G1" s="14"/>
      <c r="H1" s="14"/>
    </row>
    <row r="3" spans="1:8" ht="15">
      <c r="A3" s="8" t="s">
        <v>77</v>
      </c>
      <c r="B3" s="8" t="s">
        <v>78</v>
      </c>
      <c r="C3" s="8" t="s">
        <v>5</v>
      </c>
      <c r="D3" s="8" t="s">
        <v>6</v>
      </c>
      <c r="E3" s="8" t="s">
        <v>79</v>
      </c>
      <c r="F3" s="8" t="s">
        <v>10</v>
      </c>
      <c r="G3" s="8" t="s">
        <v>80</v>
      </c>
      <c r="H3" s="8" t="s">
        <v>81</v>
      </c>
    </row>
    <row r="4" spans="1:8" ht="15">
      <c r="A4" s="9">
        <v>1</v>
      </c>
      <c r="B4" s="9" t="s">
        <v>51</v>
      </c>
      <c r="C4" s="10">
        <v>39600</v>
      </c>
      <c r="D4" s="10">
        <v>7000</v>
      </c>
      <c r="E4" s="10">
        <v>46600</v>
      </c>
      <c r="F4" s="9" t="s">
        <v>15</v>
      </c>
      <c r="G4" s="9" t="s">
        <v>136</v>
      </c>
      <c r="H4" s="9" t="s">
        <v>55</v>
      </c>
    </row>
    <row r="5" spans="1:8" ht="42.75">
      <c r="A5" s="4">
        <v>2</v>
      </c>
      <c r="B5" s="4" t="s">
        <v>86</v>
      </c>
      <c r="C5" s="5">
        <v>39600</v>
      </c>
      <c r="D5" s="5">
        <v>7000</v>
      </c>
      <c r="E5" s="5">
        <v>46600</v>
      </c>
      <c r="F5" s="4" t="s">
        <v>27</v>
      </c>
      <c r="G5" s="4" t="s">
        <v>136</v>
      </c>
      <c r="H5" s="4" t="s">
        <v>85</v>
      </c>
    </row>
    <row r="6" spans="1:8" ht="42.75">
      <c r="A6" s="4">
        <v>3</v>
      </c>
      <c r="B6" s="4" t="s">
        <v>103</v>
      </c>
      <c r="C6" s="5"/>
      <c r="D6" s="5"/>
      <c r="E6" s="5"/>
      <c r="F6" s="4" t="s">
        <v>87</v>
      </c>
      <c r="G6" s="4" t="s">
        <v>155</v>
      </c>
      <c r="H6" s="4" t="s">
        <v>156</v>
      </c>
    </row>
    <row r="8" spans="1:8" ht="15">
      <c r="A8" s="15" t="s">
        <v>90</v>
      </c>
      <c r="B8" s="15"/>
      <c r="C8" s="15"/>
      <c r="D8" s="15"/>
      <c r="E8" s="15"/>
      <c r="F8" s="15"/>
      <c r="G8" s="15"/>
      <c r="H8" s="15"/>
    </row>
    <row r="9" spans="1:8">
      <c r="A9" s="16" t="s">
        <v>153</v>
      </c>
      <c r="B9" s="16"/>
      <c r="C9" s="16"/>
      <c r="D9" s="16"/>
      <c r="E9" s="16"/>
      <c r="F9" s="16"/>
      <c r="G9" s="16"/>
      <c r="H9" s="16"/>
    </row>
    <row r="10" spans="1:8">
      <c r="A10" s="16"/>
      <c r="B10" s="16"/>
      <c r="C10" s="16"/>
      <c r="D10" s="16"/>
      <c r="E10" s="16"/>
      <c r="F10" s="16"/>
      <c r="G10" s="16"/>
      <c r="H10" s="16"/>
    </row>
    <row r="11" spans="1:8">
      <c r="A11" s="16"/>
      <c r="B11" s="16"/>
      <c r="C11" s="16"/>
      <c r="D11" s="16"/>
      <c r="E11" s="16"/>
      <c r="F11" s="16"/>
      <c r="G11" s="16"/>
      <c r="H11" s="16"/>
    </row>
  </sheetData>
  <mergeCells count="3">
    <mergeCell ref="A1:H1"/>
    <mergeCell ref="A8:H8"/>
    <mergeCell ref="A9:H11"/>
  </mergeCells>
  <phoneticPr fontId="7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1"/>
  <sheetViews>
    <sheetView workbookViewId="0"/>
  </sheetViews>
  <sheetFormatPr defaultRowHeight="14.25"/>
  <cols>
    <col min="1" max="1" width="7" customWidth="1"/>
    <col min="2" max="2" width="28" customWidth="1"/>
    <col min="3" max="3" width="14" customWidth="1"/>
    <col min="4" max="4" width="12" customWidth="1"/>
    <col min="5" max="5" width="14" customWidth="1"/>
    <col min="6" max="6" width="16" customWidth="1"/>
    <col min="7" max="7" width="36" customWidth="1"/>
    <col min="8" max="8" width="58" customWidth="1"/>
  </cols>
  <sheetData>
    <row r="1" spans="1:8" ht="30" customHeight="1">
      <c r="A1" s="14" t="s">
        <v>157</v>
      </c>
      <c r="B1" s="14"/>
      <c r="C1" s="14"/>
      <c r="D1" s="14"/>
      <c r="E1" s="14"/>
      <c r="F1" s="14"/>
      <c r="G1" s="14"/>
      <c r="H1" s="14"/>
    </row>
    <row r="3" spans="1:8" ht="15">
      <c r="A3" s="8" t="s">
        <v>77</v>
      </c>
      <c r="B3" s="8" t="s">
        <v>78</v>
      </c>
      <c r="C3" s="8" t="s">
        <v>5</v>
      </c>
      <c r="D3" s="8" t="s">
        <v>6</v>
      </c>
      <c r="E3" s="8" t="s">
        <v>79</v>
      </c>
      <c r="F3" s="8" t="s">
        <v>10</v>
      </c>
      <c r="G3" s="8" t="s">
        <v>80</v>
      </c>
      <c r="H3" s="8" t="s">
        <v>81</v>
      </c>
    </row>
    <row r="4" spans="1:8" ht="15">
      <c r="A4" s="9">
        <v>1</v>
      </c>
      <c r="B4" s="9" t="s">
        <v>12</v>
      </c>
      <c r="C4" s="10">
        <v>18000</v>
      </c>
      <c r="D4" s="10">
        <v>3000</v>
      </c>
      <c r="E4" s="10">
        <v>21000</v>
      </c>
      <c r="F4" s="9" t="s">
        <v>15</v>
      </c>
      <c r="G4" s="9" t="s">
        <v>158</v>
      </c>
      <c r="H4" s="9" t="s">
        <v>57</v>
      </c>
    </row>
    <row r="5" spans="1:8">
      <c r="A5" s="4">
        <v>2</v>
      </c>
      <c r="B5" s="4" t="s">
        <v>86</v>
      </c>
      <c r="C5" s="5"/>
      <c r="D5" s="5"/>
      <c r="E5" s="5"/>
      <c r="F5" s="4" t="s">
        <v>87</v>
      </c>
      <c r="G5" s="4" t="s">
        <v>159</v>
      </c>
      <c r="H5" s="4" t="s">
        <v>89</v>
      </c>
    </row>
    <row r="6" spans="1:8" ht="42.75">
      <c r="A6" s="4">
        <v>3</v>
      </c>
      <c r="B6" s="4" t="s">
        <v>103</v>
      </c>
      <c r="C6" s="5"/>
      <c r="D6" s="5"/>
      <c r="E6" s="5"/>
      <c r="F6" s="4" t="s">
        <v>87</v>
      </c>
      <c r="G6" s="4" t="s">
        <v>160</v>
      </c>
      <c r="H6" s="4" t="s">
        <v>161</v>
      </c>
    </row>
    <row r="8" spans="1:8" ht="15">
      <c r="A8" s="15" t="s">
        <v>90</v>
      </c>
      <c r="B8" s="15"/>
      <c r="C8" s="15"/>
      <c r="D8" s="15"/>
      <c r="E8" s="15"/>
      <c r="F8" s="15"/>
      <c r="G8" s="15"/>
      <c r="H8" s="15"/>
    </row>
    <row r="9" spans="1:8">
      <c r="A9" s="16" t="s">
        <v>162</v>
      </c>
      <c r="B9" s="16"/>
      <c r="C9" s="16"/>
      <c r="D9" s="16"/>
      <c r="E9" s="16"/>
      <c r="F9" s="16"/>
      <c r="G9" s="16"/>
      <c r="H9" s="16"/>
    </row>
    <row r="10" spans="1:8">
      <c r="A10" s="16"/>
      <c r="B10" s="16"/>
      <c r="C10" s="16"/>
      <c r="D10" s="16"/>
      <c r="E10" s="16"/>
      <c r="F10" s="16"/>
      <c r="G10" s="16"/>
      <c r="H10" s="16"/>
    </row>
    <row r="11" spans="1:8">
      <c r="A11" s="16"/>
      <c r="B11" s="16"/>
      <c r="C11" s="16"/>
      <c r="D11" s="16"/>
      <c r="E11" s="16"/>
      <c r="F11" s="16"/>
      <c r="G11" s="16"/>
      <c r="H11" s="16"/>
    </row>
  </sheetData>
  <mergeCells count="3">
    <mergeCell ref="A1:H1"/>
    <mergeCell ref="A8:H8"/>
    <mergeCell ref="A9:H11"/>
  </mergeCells>
  <phoneticPr fontId="7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1"/>
  <sheetViews>
    <sheetView workbookViewId="0"/>
  </sheetViews>
  <sheetFormatPr defaultRowHeight="14.25"/>
  <cols>
    <col min="1" max="1" width="7" customWidth="1"/>
    <col min="2" max="2" width="28" customWidth="1"/>
    <col min="3" max="3" width="14" customWidth="1"/>
    <col min="4" max="4" width="12" customWidth="1"/>
    <col min="5" max="5" width="14" customWidth="1"/>
    <col min="6" max="6" width="16" customWidth="1"/>
    <col min="7" max="7" width="36" customWidth="1"/>
    <col min="8" max="8" width="58" customWidth="1"/>
  </cols>
  <sheetData>
    <row r="1" spans="1:8" ht="30" customHeight="1">
      <c r="A1" s="14" t="s">
        <v>163</v>
      </c>
      <c r="B1" s="14"/>
      <c r="C1" s="14"/>
      <c r="D1" s="14"/>
      <c r="E1" s="14"/>
      <c r="F1" s="14"/>
      <c r="G1" s="14"/>
      <c r="H1" s="14"/>
    </row>
    <row r="3" spans="1:8" ht="15">
      <c r="A3" s="8" t="s">
        <v>77</v>
      </c>
      <c r="B3" s="8" t="s">
        <v>78</v>
      </c>
      <c r="C3" s="8" t="s">
        <v>5</v>
      </c>
      <c r="D3" s="8" t="s">
        <v>6</v>
      </c>
      <c r="E3" s="8" t="s">
        <v>79</v>
      </c>
      <c r="F3" s="8" t="s">
        <v>10</v>
      </c>
      <c r="G3" s="8" t="s">
        <v>80</v>
      </c>
      <c r="H3" s="8" t="s">
        <v>81</v>
      </c>
    </row>
    <row r="4" spans="1:8" ht="30">
      <c r="A4" s="9">
        <v>1</v>
      </c>
      <c r="B4" s="9" t="s">
        <v>60</v>
      </c>
      <c r="C4" s="10">
        <v>149000</v>
      </c>
      <c r="D4" s="10">
        <v>0</v>
      </c>
      <c r="E4" s="10">
        <v>149000</v>
      </c>
      <c r="F4" s="9" t="s">
        <v>15</v>
      </c>
      <c r="G4" s="9" t="s">
        <v>164</v>
      </c>
      <c r="H4" s="9" t="s">
        <v>61</v>
      </c>
    </row>
    <row r="5" spans="1:8" ht="42.75">
      <c r="A5" s="4">
        <v>2</v>
      </c>
      <c r="B5" s="4" t="s">
        <v>103</v>
      </c>
      <c r="C5" s="5"/>
      <c r="D5" s="5"/>
      <c r="E5" s="5"/>
      <c r="F5" s="4" t="s">
        <v>87</v>
      </c>
      <c r="G5" s="4" t="s">
        <v>165</v>
      </c>
      <c r="H5" s="4" t="s">
        <v>166</v>
      </c>
    </row>
    <row r="6" spans="1:8" ht="42.75">
      <c r="A6" s="4">
        <v>3</v>
      </c>
      <c r="B6" s="4" t="s">
        <v>86</v>
      </c>
      <c r="C6" s="5"/>
      <c r="D6" s="5"/>
      <c r="E6" s="5"/>
      <c r="F6" s="4" t="s">
        <v>87</v>
      </c>
      <c r="G6" s="4" t="s">
        <v>167</v>
      </c>
      <c r="H6" s="4" t="s">
        <v>168</v>
      </c>
    </row>
    <row r="8" spans="1:8" ht="15">
      <c r="A8" s="15" t="s">
        <v>90</v>
      </c>
      <c r="B8" s="15"/>
      <c r="C8" s="15"/>
      <c r="D8" s="15"/>
      <c r="E8" s="15"/>
      <c r="F8" s="15"/>
      <c r="G8" s="15"/>
      <c r="H8" s="15"/>
    </row>
    <row r="9" spans="1:8">
      <c r="A9" s="16" t="s">
        <v>169</v>
      </c>
      <c r="B9" s="16"/>
      <c r="C9" s="16"/>
      <c r="D9" s="16"/>
      <c r="E9" s="16"/>
      <c r="F9" s="16"/>
      <c r="G9" s="16"/>
      <c r="H9" s="16"/>
    </row>
    <row r="10" spans="1:8">
      <c r="A10" s="16"/>
      <c r="B10" s="16"/>
      <c r="C10" s="16"/>
      <c r="D10" s="16"/>
      <c r="E10" s="16"/>
      <c r="F10" s="16"/>
      <c r="G10" s="16"/>
      <c r="H10" s="16"/>
    </row>
    <row r="11" spans="1:8">
      <c r="A11" s="16"/>
      <c r="B11" s="16"/>
      <c r="C11" s="16"/>
      <c r="D11" s="16"/>
      <c r="E11" s="16"/>
      <c r="F11" s="16"/>
      <c r="G11" s="16"/>
      <c r="H11" s="16"/>
    </row>
  </sheetData>
  <mergeCells count="3">
    <mergeCell ref="A1:H1"/>
    <mergeCell ref="A8:H8"/>
    <mergeCell ref="A9:H11"/>
  </mergeCells>
  <phoneticPr fontId="7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1"/>
  <sheetViews>
    <sheetView workbookViewId="0"/>
  </sheetViews>
  <sheetFormatPr defaultRowHeight="14.25"/>
  <cols>
    <col min="1" max="1" width="7" customWidth="1"/>
    <col min="2" max="2" width="28" customWidth="1"/>
    <col min="3" max="3" width="14" customWidth="1"/>
    <col min="4" max="4" width="12" customWidth="1"/>
    <col min="5" max="5" width="14" customWidth="1"/>
    <col min="6" max="6" width="16" customWidth="1"/>
    <col min="7" max="7" width="36" customWidth="1"/>
    <col min="8" max="8" width="58" customWidth="1"/>
  </cols>
  <sheetData>
    <row r="1" spans="1:8" ht="30" customHeight="1">
      <c r="A1" s="14" t="s">
        <v>170</v>
      </c>
      <c r="B1" s="14"/>
      <c r="C1" s="14"/>
      <c r="D1" s="14"/>
      <c r="E1" s="14"/>
      <c r="F1" s="14"/>
      <c r="G1" s="14"/>
      <c r="H1" s="14"/>
    </row>
    <row r="3" spans="1:8" ht="15">
      <c r="A3" s="8" t="s">
        <v>77</v>
      </c>
      <c r="B3" s="8" t="s">
        <v>78</v>
      </c>
      <c r="C3" s="8" t="s">
        <v>5</v>
      </c>
      <c r="D3" s="8" t="s">
        <v>6</v>
      </c>
      <c r="E3" s="8" t="s">
        <v>79</v>
      </c>
      <c r="F3" s="8" t="s">
        <v>10</v>
      </c>
      <c r="G3" s="8" t="s">
        <v>80</v>
      </c>
      <c r="H3" s="8" t="s">
        <v>81</v>
      </c>
    </row>
    <row r="4" spans="1:8">
      <c r="A4" s="4">
        <v>1</v>
      </c>
      <c r="B4" s="4" t="s">
        <v>171</v>
      </c>
      <c r="C4" s="5">
        <v>97380</v>
      </c>
      <c r="D4" s="5">
        <v>3000</v>
      </c>
      <c r="E4" s="5">
        <v>100380</v>
      </c>
      <c r="F4" s="4" t="s">
        <v>27</v>
      </c>
      <c r="G4" s="4" t="s">
        <v>172</v>
      </c>
      <c r="H4" s="4" t="s">
        <v>173</v>
      </c>
    </row>
    <row r="5" spans="1:8">
      <c r="A5" s="4">
        <v>2</v>
      </c>
      <c r="B5" s="4" t="s">
        <v>174</v>
      </c>
      <c r="C5" s="5">
        <v>158000</v>
      </c>
      <c r="D5" s="5">
        <v>4000</v>
      </c>
      <c r="E5" s="5">
        <v>162000</v>
      </c>
      <c r="F5" s="4" t="s">
        <v>27</v>
      </c>
      <c r="G5" s="4" t="s">
        <v>175</v>
      </c>
      <c r="H5" s="4" t="s">
        <v>176</v>
      </c>
    </row>
    <row r="6" spans="1:8" ht="15">
      <c r="A6" s="9">
        <v>3</v>
      </c>
      <c r="B6" s="9" t="s">
        <v>64</v>
      </c>
      <c r="C6" s="10">
        <v>210770</v>
      </c>
      <c r="D6" s="10">
        <v>3500</v>
      </c>
      <c r="E6" s="10">
        <v>214270</v>
      </c>
      <c r="F6" s="9" t="s">
        <v>15</v>
      </c>
      <c r="G6" s="9" t="s">
        <v>177</v>
      </c>
      <c r="H6" s="9" t="s">
        <v>65</v>
      </c>
    </row>
    <row r="8" spans="1:8" ht="15">
      <c r="A8" s="15" t="s">
        <v>90</v>
      </c>
      <c r="B8" s="15"/>
      <c r="C8" s="15"/>
      <c r="D8" s="15"/>
      <c r="E8" s="15"/>
      <c r="F8" s="15"/>
      <c r="G8" s="15"/>
      <c r="H8" s="15"/>
    </row>
    <row r="9" spans="1:8">
      <c r="A9" s="16" t="s">
        <v>178</v>
      </c>
      <c r="B9" s="16"/>
      <c r="C9" s="16"/>
      <c r="D9" s="16"/>
      <c r="E9" s="16"/>
      <c r="F9" s="16"/>
      <c r="G9" s="16"/>
      <c r="H9" s="16"/>
    </row>
    <row r="10" spans="1:8">
      <c r="A10" s="16"/>
      <c r="B10" s="16"/>
      <c r="C10" s="16"/>
      <c r="D10" s="16"/>
      <c r="E10" s="16"/>
      <c r="F10" s="16"/>
      <c r="G10" s="16"/>
      <c r="H10" s="16"/>
    </row>
    <row r="11" spans="1:8">
      <c r="A11" s="16"/>
      <c r="B11" s="16"/>
      <c r="C11" s="16"/>
      <c r="D11" s="16"/>
      <c r="E11" s="16"/>
      <c r="F11" s="16"/>
      <c r="G11" s="16"/>
      <c r="H11" s="16"/>
    </row>
  </sheetData>
  <mergeCells count="3">
    <mergeCell ref="A1:H1"/>
    <mergeCell ref="A8:H8"/>
    <mergeCell ref="A9:H11"/>
  </mergeCells>
  <phoneticPr fontId="7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1"/>
  <sheetViews>
    <sheetView workbookViewId="0"/>
  </sheetViews>
  <sheetFormatPr defaultRowHeight="14.25"/>
  <cols>
    <col min="1" max="1" width="7" customWidth="1"/>
    <col min="2" max="2" width="28" customWidth="1"/>
    <col min="3" max="3" width="14" customWidth="1"/>
    <col min="4" max="4" width="12" customWidth="1"/>
    <col min="5" max="5" width="14" customWidth="1"/>
    <col min="6" max="6" width="16" customWidth="1"/>
    <col min="7" max="7" width="36" customWidth="1"/>
    <col min="8" max="8" width="58" customWidth="1"/>
  </cols>
  <sheetData>
    <row r="1" spans="1:8" ht="30" customHeight="1">
      <c r="A1" s="14" t="s">
        <v>179</v>
      </c>
      <c r="B1" s="14"/>
      <c r="C1" s="14"/>
      <c r="D1" s="14"/>
      <c r="E1" s="14"/>
      <c r="F1" s="14"/>
      <c r="G1" s="14"/>
      <c r="H1" s="14"/>
    </row>
    <row r="3" spans="1:8" ht="15">
      <c r="A3" s="8" t="s">
        <v>77</v>
      </c>
      <c r="B3" s="8" t="s">
        <v>78</v>
      </c>
      <c r="C3" s="8" t="s">
        <v>5</v>
      </c>
      <c r="D3" s="8" t="s">
        <v>6</v>
      </c>
      <c r="E3" s="8" t="s">
        <v>79</v>
      </c>
      <c r="F3" s="8" t="s">
        <v>10</v>
      </c>
      <c r="G3" s="8" t="s">
        <v>80</v>
      </c>
      <c r="H3" s="8" t="s">
        <v>81</v>
      </c>
    </row>
    <row r="4" spans="1:8" ht="45">
      <c r="A4" s="9">
        <v>1</v>
      </c>
      <c r="B4" s="9" t="s">
        <v>68</v>
      </c>
      <c r="C4" s="10">
        <v>4400</v>
      </c>
      <c r="D4" s="10">
        <v>7700</v>
      </c>
      <c r="E4" s="10">
        <v>12100</v>
      </c>
      <c r="F4" s="9" t="s">
        <v>27</v>
      </c>
      <c r="G4" s="9" t="s">
        <v>180</v>
      </c>
      <c r="H4" s="9" t="s">
        <v>69</v>
      </c>
    </row>
    <row r="5" spans="1:8" ht="99.75">
      <c r="A5" s="4">
        <v>2</v>
      </c>
      <c r="B5" s="4" t="s">
        <v>181</v>
      </c>
      <c r="C5" s="5">
        <v>5500</v>
      </c>
      <c r="D5" s="5">
        <v>6600</v>
      </c>
      <c r="E5" s="5">
        <v>12100</v>
      </c>
      <c r="F5" s="4" t="s">
        <v>27</v>
      </c>
      <c r="G5" s="4" t="s">
        <v>180</v>
      </c>
      <c r="H5" s="4" t="s">
        <v>182</v>
      </c>
    </row>
    <row r="6" spans="1:8">
      <c r="A6" s="4">
        <v>3</v>
      </c>
      <c r="B6" s="4" t="s">
        <v>183</v>
      </c>
      <c r="C6" s="5">
        <v>7390</v>
      </c>
      <c r="D6" s="5"/>
      <c r="E6" s="5"/>
      <c r="F6" s="4" t="s">
        <v>27</v>
      </c>
      <c r="G6" s="4" t="s">
        <v>184</v>
      </c>
      <c r="H6" s="4" t="s">
        <v>185</v>
      </c>
    </row>
    <row r="8" spans="1:8" ht="15">
      <c r="A8" s="15" t="s">
        <v>90</v>
      </c>
      <c r="B8" s="15"/>
      <c r="C8" s="15"/>
      <c r="D8" s="15"/>
      <c r="E8" s="15"/>
      <c r="F8" s="15"/>
      <c r="G8" s="15"/>
      <c r="H8" s="15"/>
    </row>
    <row r="9" spans="1:8">
      <c r="A9" s="16" t="s">
        <v>186</v>
      </c>
      <c r="B9" s="16"/>
      <c r="C9" s="16"/>
      <c r="D9" s="16"/>
      <c r="E9" s="16"/>
      <c r="F9" s="16"/>
      <c r="G9" s="16"/>
      <c r="H9" s="16"/>
    </row>
    <row r="10" spans="1:8">
      <c r="A10" s="16"/>
      <c r="B10" s="16"/>
      <c r="C10" s="16"/>
      <c r="D10" s="16"/>
      <c r="E10" s="16"/>
      <c r="F10" s="16"/>
      <c r="G10" s="16"/>
      <c r="H10" s="16"/>
    </row>
    <row r="11" spans="1:8">
      <c r="A11" s="16"/>
      <c r="B11" s="16"/>
      <c r="C11" s="16"/>
      <c r="D11" s="16"/>
      <c r="E11" s="16"/>
      <c r="F11" s="16"/>
      <c r="G11" s="16"/>
      <c r="H11" s="16"/>
    </row>
  </sheetData>
  <mergeCells count="3">
    <mergeCell ref="A1:H1"/>
    <mergeCell ref="A8:H8"/>
    <mergeCell ref="A9:H11"/>
  </mergeCells>
  <phoneticPr fontId="7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1"/>
  <sheetViews>
    <sheetView workbookViewId="0"/>
  </sheetViews>
  <sheetFormatPr defaultRowHeight="14.25"/>
  <cols>
    <col min="1" max="1" width="7" customWidth="1"/>
    <col min="2" max="2" width="28" customWidth="1"/>
    <col min="3" max="3" width="14" customWidth="1"/>
    <col min="4" max="4" width="12" customWidth="1"/>
    <col min="5" max="5" width="14" customWidth="1"/>
    <col min="6" max="6" width="16" customWidth="1"/>
    <col min="7" max="7" width="36" customWidth="1"/>
    <col min="8" max="8" width="58" customWidth="1"/>
  </cols>
  <sheetData>
    <row r="1" spans="1:8" ht="30" customHeight="1">
      <c r="A1" s="14" t="s">
        <v>187</v>
      </c>
      <c r="B1" s="14"/>
      <c r="C1" s="14"/>
      <c r="D1" s="14"/>
      <c r="E1" s="14"/>
      <c r="F1" s="14"/>
      <c r="G1" s="14"/>
      <c r="H1" s="14"/>
    </row>
    <row r="3" spans="1:8" ht="15">
      <c r="A3" s="8" t="s">
        <v>77</v>
      </c>
      <c r="B3" s="8" t="s">
        <v>78</v>
      </c>
      <c r="C3" s="8" t="s">
        <v>5</v>
      </c>
      <c r="D3" s="8" t="s">
        <v>6</v>
      </c>
      <c r="E3" s="8" t="s">
        <v>79</v>
      </c>
      <c r="F3" s="8" t="s">
        <v>10</v>
      </c>
      <c r="G3" s="8" t="s">
        <v>80</v>
      </c>
      <c r="H3" s="8" t="s">
        <v>81</v>
      </c>
    </row>
    <row r="4" spans="1:8" ht="15">
      <c r="A4" s="9">
        <v>1</v>
      </c>
      <c r="B4" s="9" t="s">
        <v>72</v>
      </c>
      <c r="C4" s="10">
        <v>2920</v>
      </c>
      <c r="D4" s="10">
        <v>3500</v>
      </c>
      <c r="E4" s="10">
        <v>6420</v>
      </c>
      <c r="F4" s="9" t="s">
        <v>15</v>
      </c>
      <c r="G4" s="9" t="s">
        <v>188</v>
      </c>
      <c r="H4" s="9" t="s">
        <v>73</v>
      </c>
    </row>
    <row r="5" spans="1:8" ht="28.5">
      <c r="A5" s="4">
        <v>2</v>
      </c>
      <c r="B5" s="4" t="s">
        <v>103</v>
      </c>
      <c r="C5" s="5"/>
      <c r="D5" s="5"/>
      <c r="E5" s="5"/>
      <c r="F5" s="4" t="s">
        <v>87</v>
      </c>
      <c r="G5" s="4" t="s">
        <v>189</v>
      </c>
      <c r="H5" s="4" t="s">
        <v>190</v>
      </c>
    </row>
    <row r="6" spans="1:8" ht="42.75">
      <c r="A6" s="4">
        <v>3</v>
      </c>
      <c r="B6" s="4" t="s">
        <v>191</v>
      </c>
      <c r="C6" s="5"/>
      <c r="D6" s="5"/>
      <c r="E6" s="5"/>
      <c r="F6" s="4" t="s">
        <v>87</v>
      </c>
      <c r="G6" s="4" t="s">
        <v>192</v>
      </c>
      <c r="H6" s="4" t="s">
        <v>193</v>
      </c>
    </row>
    <row r="8" spans="1:8" ht="15">
      <c r="A8" s="15" t="s">
        <v>90</v>
      </c>
      <c r="B8" s="15"/>
      <c r="C8" s="15"/>
      <c r="D8" s="15"/>
      <c r="E8" s="15"/>
      <c r="F8" s="15"/>
      <c r="G8" s="15"/>
      <c r="H8" s="15"/>
    </row>
    <row r="9" spans="1:8">
      <c r="A9" s="16" t="s">
        <v>194</v>
      </c>
      <c r="B9" s="16"/>
      <c r="C9" s="16"/>
      <c r="D9" s="16"/>
      <c r="E9" s="16"/>
      <c r="F9" s="16"/>
      <c r="G9" s="16"/>
      <c r="H9" s="16"/>
    </row>
    <row r="10" spans="1:8">
      <c r="A10" s="16"/>
      <c r="B10" s="16"/>
      <c r="C10" s="16"/>
      <c r="D10" s="16"/>
      <c r="E10" s="16"/>
      <c r="F10" s="16"/>
      <c r="G10" s="16"/>
      <c r="H10" s="16"/>
    </row>
    <row r="11" spans="1:8">
      <c r="A11" s="16"/>
      <c r="B11" s="16"/>
      <c r="C11" s="16"/>
      <c r="D11" s="16"/>
      <c r="E11" s="16"/>
      <c r="F11" s="16"/>
      <c r="G11" s="16"/>
      <c r="H11" s="16"/>
    </row>
  </sheetData>
  <mergeCells count="3">
    <mergeCell ref="A1:H1"/>
    <mergeCell ref="A8:H8"/>
    <mergeCell ref="A9:H11"/>
  </mergeCells>
  <phoneticPr fontId="7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9"/>
  <sheetViews>
    <sheetView workbookViewId="0"/>
  </sheetViews>
  <sheetFormatPr defaultRowHeight="14.25"/>
  <cols>
    <col min="1" max="1" width="18" customWidth="1"/>
    <col min="2" max="2" width="90" customWidth="1"/>
  </cols>
  <sheetData>
    <row r="1" spans="1:6" ht="19.5">
      <c r="A1" s="17" t="s">
        <v>195</v>
      </c>
      <c r="B1" s="17"/>
      <c r="C1" s="17"/>
      <c r="D1" s="17"/>
      <c r="E1" s="17"/>
      <c r="F1" s="17"/>
    </row>
    <row r="3" spans="1:6" ht="15">
      <c r="A3" s="1" t="s">
        <v>196</v>
      </c>
      <c r="B3" s="1" t="s">
        <v>197</v>
      </c>
    </row>
    <row r="4" spans="1:6">
      <c r="A4" s="3" t="s">
        <v>198</v>
      </c>
      <c r="B4" s="3" t="s">
        <v>199</v>
      </c>
    </row>
    <row r="5" spans="1:6">
      <c r="A5" s="3" t="s">
        <v>200</v>
      </c>
      <c r="B5" s="3" t="s">
        <v>201</v>
      </c>
    </row>
    <row r="6" spans="1:6">
      <c r="A6" s="3" t="s">
        <v>202</v>
      </c>
      <c r="B6" s="3" t="s">
        <v>203</v>
      </c>
    </row>
    <row r="7" spans="1:6">
      <c r="A7" s="3" t="s">
        <v>204</v>
      </c>
      <c r="B7" s="3" t="s">
        <v>205</v>
      </c>
    </row>
    <row r="8" spans="1:6">
      <c r="A8" s="3" t="s">
        <v>206</v>
      </c>
      <c r="B8" s="3" t="s">
        <v>207</v>
      </c>
    </row>
    <row r="9" spans="1:6">
      <c r="A9" s="3" t="s">
        <v>208</v>
      </c>
      <c r="B9" s="3" t="s">
        <v>209</v>
      </c>
    </row>
  </sheetData>
  <mergeCells count="1">
    <mergeCell ref="A1:F1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19</vt:i4>
      </vt:variant>
    </vt:vector>
  </HeadingPairs>
  <TitlesOfParts>
    <vt:vector size="19" baseType="lpstr">
      <vt:lpstr>01_최종추천</vt:lpstr>
      <vt:lpstr>02_EB6200 주름관</vt:lpstr>
      <vt:lpstr>03_EB6200 악셀레버 핸들 세트</vt:lpstr>
      <vt:lpstr>04_EB6200 회전관</vt:lpstr>
      <vt:lpstr>05_EB6200 기화기</vt:lpstr>
      <vt:lpstr>06_EB6200 연료필터</vt:lpstr>
      <vt:lpstr>07_EB6200 리코일 스타트</vt:lpstr>
      <vt:lpstr>08_EB6200 에어크리너 세트</vt:lpstr>
      <vt:lpstr>09_EB6200 점화코일</vt:lpstr>
      <vt:lpstr>10_EB6200 헤드가스켓</vt:lpstr>
      <vt:lpstr>11_EB6200 피스톤링</vt:lpstr>
      <vt:lpstr>12_EB6200 피스톤</vt:lpstr>
      <vt:lpstr>13_EB6200 손잡이고정 브라켓</vt:lpstr>
      <vt:lpstr>14_EB6200 토출구 호스</vt:lpstr>
      <vt:lpstr>15_구리스 자동 펌프</vt:lpstr>
      <vt:lpstr>16_임팩트 라쳇렌치 AI414RW</vt:lpstr>
      <vt:lpstr>17_부품박스 6호</vt:lpstr>
      <vt:lpstr>18_부품박스 2호</vt:lpstr>
      <vt:lpstr>19_조사기준_주의사항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훈3 동</cp:lastModifiedBy>
  <dcterms:modified xsi:type="dcterms:W3CDTF">2026-07-27T01:25:13Z</dcterms:modified>
</cp:coreProperties>
</file>